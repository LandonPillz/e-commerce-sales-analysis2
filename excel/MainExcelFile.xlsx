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fb320f792eebd0/Documents/Desktop/data project 1/"/>
    </mc:Choice>
  </mc:AlternateContent>
  <xr:revisionPtr revIDLastSave="0" documentId="14_{A124605B-5E49-4671-98A8-6E74EBCFE9A6}" xr6:coauthVersionLast="47" xr6:coauthVersionMax="47" xr10:uidLastSave="{00000000-0000-0000-0000-000000000000}"/>
  <bookViews>
    <workbookView xWindow="-120" yWindow="-120" windowWidth="29040" windowHeight="15720" activeTab="4" xr2:uid="{FE09008C-2313-48B8-A8F9-20E8378EBA07}"/>
  </bookViews>
  <sheets>
    <sheet name="README" sheetId="1" r:id="rId1"/>
    <sheet name="Raw SQL Exports" sheetId="2" r:id="rId2"/>
    <sheet name="KPI Summary" sheetId="3" r:id="rId3"/>
    <sheet name="Pivot Tables" sheetId="4" r:id="rId4"/>
    <sheet name="Dashboard" sheetId="5" r:id="rId5"/>
  </sheets>
  <definedNames>
    <definedName name="ExternalData_1" localSheetId="1" hidden="1">'Raw SQL Exports'!$A$1:$D$14</definedName>
    <definedName name="ExternalData_2" localSheetId="1" hidden="1">'Raw SQL Exports'!$A$15:$C$25</definedName>
    <definedName name="ExternalData_3" localSheetId="1" hidden="1">'Raw SQL Exports'!$A$26:$C$74</definedName>
    <definedName name="ExternalData_4" localSheetId="1" hidden="1">'Raw SQL Exports'!$J$1:$N$18</definedName>
    <definedName name="ExternalData_5" localSheetId="1" hidden="1">'Raw SQL Exports'!$J$19:$N$31</definedName>
    <definedName name="ExternalData_6" localSheetId="1" hidden="1">'Raw SQL Exports'!$J$32:$L$80</definedName>
  </definedNames>
  <calcPr calcId="191029"/>
  <pivotCaches>
    <pivotCache cacheId="3" r:id="rId6"/>
    <pivotCache cacheId="7" r:id="rId7"/>
    <pivotCache cacheId="13" r:id="rId8"/>
    <pivotCache cacheId="23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5" l="1"/>
  <c r="I5" i="5"/>
  <c r="G5" i="5"/>
  <c r="E5" i="5"/>
  <c r="C5" i="5"/>
  <c r="A5" i="5"/>
  <c r="B11" i="3" a="1"/>
  <c r="B11" i="3" s="1"/>
  <c r="B10" i="3"/>
  <c r="B9" i="3"/>
  <c r="B8" i="3"/>
  <c r="B7" i="3"/>
  <c r="B6" i="3"/>
  <c r="B5" i="3"/>
  <c r="B4" i="3"/>
  <c r="B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7C0B58-C090-4845-A079-EF775AC8032C}" keepAlive="1" name="Query - v_category_performance" description="Connection to the 'v_category_performance' query in the workbook." type="5" refreshedVersion="8" background="1" saveData="1">
    <dbPr connection="Provider=Microsoft.Mashup.OleDb.1;Data Source=$Workbook$;Location=v_category_performance;Extended Properties=&quot;&quot;" command="SELECT * FROM [v_category_performance]"/>
  </connection>
  <connection id="2" xr16:uid="{47DBE0F2-8A2C-4D11-99AA-2D02FBF04613}" keepAlive="1" name="Query - v_monthly_trend" description="Connection to the 'v_monthly_trend' query in the workbook." type="5" refreshedVersion="8" background="1" saveData="1">
    <dbPr connection="Provider=Microsoft.Mashup.OleDb.1;Data Source=$Workbook$;Location=v_monthly_trend;Extended Properties=&quot;&quot;" command="SELECT * FROM [v_monthly_trend]"/>
  </connection>
  <connection id="3" xr16:uid="{CE667174-97B8-4ACE-A14C-8F2E171286EA}" keepAlive="1" name="Query - v_running_total" description="Connection to the 'v_running_total' query in the workbook." type="5" refreshedVersion="8" background="1" saveData="1">
    <dbPr connection="Provider=Microsoft.Mashup.OleDb.1;Data Source=$Workbook$;Location=v_running_total;Extended Properties=&quot;&quot;" command="SELECT * FROM [v_running_total]"/>
  </connection>
  <connection id="4" xr16:uid="{0937F1FA-6530-428E-9D4A-74AC1B4AE8A2}" keepAlive="1" name="Query - v_sales_by_region" description="Connection to the 'v_sales_by_region' query in the workbook." type="5" refreshedVersion="8" background="1" saveData="1">
    <dbPr connection="Provider=Microsoft.Mashup.OleDb.1;Data Source=$Workbook$;Location=v_sales_by_region;Extended Properties=&quot;&quot;" command="SELECT * FROM [v_sales_by_region]"/>
  </connection>
  <connection id="5" xr16:uid="{6A55A44B-F287-469F-A452-E6AC48009BD4}" keepAlive="1" name="Query - v_shipping_priority" description="Connection to the 'v_shipping_priority' query in the workbook." type="5" refreshedVersion="8" background="1" saveData="1">
    <dbPr connection="Provider=Microsoft.Mashup.OleDb.1;Data Source=$Workbook$;Location=v_shipping_priority;Extended Properties=&quot;&quot;" command="SELECT * FROM [v_shipping_priority]"/>
  </connection>
  <connection id="6" xr16:uid="{AD6D9773-CC78-4326-91D6-2455B1144B6C}" keepAlive="1" name="Query - v_top_customers" description="Connection to the 'v_top_customers' query in the workbook." type="5" refreshedVersion="0" background="1">
    <dbPr connection="Provider=Microsoft.Mashup.OleDb.1;Data Source=$Workbook$;Location=v_top_customers;Extended Properties=&quot;&quot;" command="SELECT * FROM [v_top_customers]"/>
  </connection>
  <connection id="7" xr16:uid="{AB62F94A-DCBA-4740-8D35-D0546A528C65}" keepAlive="1" name="Query - v_top_customers (2)" description="Connection to the 'v_top_customers (2)' query in the workbook." type="5" refreshedVersion="8" background="1" saveData="1">
    <dbPr connection="Provider=Microsoft.Mashup.OleDb.1;Data Source=$Workbook$;Location=&quot;v_top_customers (2)&quot;;Extended Properties=&quot;&quot;" command="SELECT * FROM [v_top_customers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<sst xmlns="http://schemas.openxmlformats.org/spreadsheetml/2006/main" count="211" uniqueCount="93">
  <si>
    <t>region</t>
  </si>
  <si>
    <t>total_sales</t>
  </si>
  <si>
    <t>total_profit</t>
  </si>
  <si>
    <t>total_quantity</t>
  </si>
  <si>
    <t>Central</t>
  </si>
  <si>
    <t>South</t>
  </si>
  <si>
    <t>North</t>
  </si>
  <si>
    <t>Oceania</t>
  </si>
  <si>
    <t>Southeast Asia</t>
  </si>
  <si>
    <t>North Asia</t>
  </si>
  <si>
    <t>EMEA</t>
  </si>
  <si>
    <t>Africa</t>
  </si>
  <si>
    <t>Central Asia</t>
  </si>
  <si>
    <t>West</t>
  </si>
  <si>
    <t>East</t>
  </si>
  <si>
    <t>Caribbean</t>
  </si>
  <si>
    <t>Canada</t>
  </si>
  <si>
    <t>customer_name</t>
  </si>
  <si>
    <t>Tom Ashbrook</t>
  </si>
  <si>
    <t>Tamara Chand</t>
  </si>
  <si>
    <t>Greg Tran</t>
  </si>
  <si>
    <t>Christopher Conant</t>
  </si>
  <si>
    <t>Sean Miller</t>
  </si>
  <si>
    <t>Bart Watters</t>
  </si>
  <si>
    <t>Natalie Fritzler</t>
  </si>
  <si>
    <t>Fred Hopkins</t>
  </si>
  <si>
    <t>Jane Waco</t>
  </si>
  <si>
    <t>Hunter Lopez</t>
  </si>
  <si>
    <t>month_year</t>
  </si>
  <si>
    <t>category</t>
  </si>
  <si>
    <t>sub_category</t>
  </si>
  <si>
    <t>avg_discount</t>
  </si>
  <si>
    <t>Technology</t>
  </si>
  <si>
    <t>Copiers</t>
  </si>
  <si>
    <t>Phones</t>
  </si>
  <si>
    <t>Furniture</t>
  </si>
  <si>
    <t>Bookcases</t>
  </si>
  <si>
    <t>Office Supplies</t>
  </si>
  <si>
    <t>Appliances</t>
  </si>
  <si>
    <t>Chairs</t>
  </si>
  <si>
    <t>Accessories</t>
  </si>
  <si>
    <t>Storage</t>
  </si>
  <si>
    <t>Binders</t>
  </si>
  <si>
    <t>Paper</t>
  </si>
  <si>
    <t>Art</t>
  </si>
  <si>
    <t>Machines</t>
  </si>
  <si>
    <t>Furnishings</t>
  </si>
  <si>
    <t>Envelopes</t>
  </si>
  <si>
    <t>Supplies</t>
  </si>
  <si>
    <t>Labels</t>
  </si>
  <si>
    <t>Fasteners</t>
  </si>
  <si>
    <t>Tables</t>
  </si>
  <si>
    <t>order_priority</t>
  </si>
  <si>
    <t>ship_mode</t>
  </si>
  <si>
    <t>num_orders</t>
  </si>
  <si>
    <t>Medium</t>
  </si>
  <si>
    <t>Standard Class</t>
  </si>
  <si>
    <t>High</t>
  </si>
  <si>
    <t>Second Class</t>
  </si>
  <si>
    <t>First Class</t>
  </si>
  <si>
    <t>Low</t>
  </si>
  <si>
    <t>Critical</t>
  </si>
  <si>
    <t>Same Day</t>
  </si>
  <si>
    <t>monthly_sales</t>
  </si>
  <si>
    <t>running_total_sales</t>
  </si>
  <si>
    <t>Total Sales</t>
  </si>
  <si>
    <t>Total Profit</t>
  </si>
  <si>
    <t>Total Quantity Sold</t>
  </si>
  <si>
    <t>Average Discount</t>
  </si>
  <si>
    <t>Profit Margin</t>
  </si>
  <si>
    <t>Top Region</t>
  </si>
  <si>
    <t>Top Customer</t>
  </si>
  <si>
    <t>Best Category</t>
  </si>
  <si>
    <t>Worst Category</t>
  </si>
  <si>
    <t>E-Commerce Sales KPI Summary</t>
  </si>
  <si>
    <t>Row Labels</t>
  </si>
  <si>
    <t>Grand Total</t>
  </si>
  <si>
    <t>Sum of total_sales</t>
  </si>
  <si>
    <t>Sum of total_profit</t>
  </si>
  <si>
    <t>2011</t>
  </si>
  <si>
    <t>2012</t>
  </si>
  <si>
    <t>2013</t>
  </si>
  <si>
    <t>2014</t>
  </si>
  <si>
    <t>Qtr1</t>
  </si>
  <si>
    <t>Qtr2</t>
  </si>
  <si>
    <t>Qtr3</t>
  </si>
  <si>
    <t>Qtr4</t>
  </si>
  <si>
    <t>Sum of avg_discount</t>
  </si>
  <si>
    <t>Sum of num_orders</t>
  </si>
  <si>
    <t>Sum of total_quantity</t>
  </si>
  <si>
    <t>E-Commerce Sales Performance Dashboard</t>
  </si>
  <si>
    <t>Global Superstroe Sales Analysis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</si>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</sst>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14"/>
      <color theme="1"/>
      <name val="Calibri"/>
      <family val="2"/>
    </font>
    <font>
      <sz val="16"/>
      <color theme="1"/>
      <name val="Calibri"/>
      <family val="2"/>
    </font>
    <font>
      <b/>
      <sz val="24"/>
      <color theme="6" tint="-0.49998474074526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44" fontId="0" fillId="0" borderId="0" xfId="1" applyFont="1"/>
    <xf numFmtId="2" fontId="0" fillId="0" borderId="0" xfId="0" applyNumberFormat="1"/>
    <xf numFmtId="0" fontId="0" fillId="0" borderId="0" xfId="0" applyAlignment="1">
      <alignment horizontal="left"/>
    </xf>
    <xf numFmtId="0" fontId="1" fillId="0" borderId="1" xfId="0" applyFont="1" applyBorder="1"/>
    <xf numFmtId="44" fontId="0" fillId="2" borderId="1" xfId="1" applyFont="1" applyFill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9" fontId="0" fillId="2" borderId="1" xfId="2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44" fontId="0" fillId="0" borderId="0" xfId="0" applyNumberFormat="1"/>
    <xf numFmtId="9" fontId="0" fillId="0" borderId="0" xfId="0" applyNumberFormat="1"/>
    <xf numFmtId="44" fontId="0" fillId="0" borderId="0" xfId="0" applyNumberFormat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44" fontId="6" fillId="2" borderId="2" xfId="1" applyFont="1" applyFill="1" applyBorder="1" applyAlignment="1">
      <alignment horizontal="center" vertical="center"/>
    </xf>
    <xf numFmtId="44" fontId="6" fillId="2" borderId="3" xfId="1" applyFont="1" applyFill="1" applyBorder="1" applyAlignment="1">
      <alignment horizontal="center" vertical="center"/>
    </xf>
    <xf numFmtId="44" fontId="6" fillId="2" borderId="4" xfId="1" applyFont="1" applyFill="1" applyBorder="1" applyAlignment="1">
      <alignment horizontal="center" vertical="center"/>
    </xf>
    <xf numFmtId="44" fontId="6" fillId="2" borderId="5" xfId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4" fontId="6" fillId="2" borderId="2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9" fontId="6" fillId="2" borderId="2" xfId="0" applyNumberFormat="1" applyFont="1" applyFill="1" applyBorder="1" applyAlignment="1">
      <alignment horizontal="center" vertical="center"/>
    </xf>
    <xf numFmtId="1" fontId="6" fillId="2" borderId="2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45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[MainExcelFile.xlsx]Pivot Tables!Monthly Sales Trend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  <a:r>
              <a:rPr lang="en-US" baseline="0"/>
              <a:t> &amp;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shade val="76000"/>
              </a:schemeClr>
            </a:solidFill>
            <a:ln w="9525">
              <a:solidFill>
                <a:schemeClr val="accent3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tint val="77000"/>
              </a:schemeClr>
            </a:solidFill>
            <a:ln w="9525">
              <a:solidFill>
                <a:schemeClr val="accent3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Tables'!$B$20</c:f>
              <c:strCache>
                <c:ptCount val="1"/>
                <c:pt idx="0">
                  <c:v>Sum of total_sales</c:v>
                </c:pt>
              </c:strCache>
            </c:strRef>
          </c:tx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shade val="76000"/>
                </a:schemeClr>
              </a:solidFill>
              <a:ln w="9525">
                <a:solidFill>
                  <a:schemeClr val="accent3">
                    <a:shade val="76000"/>
                  </a:schemeClr>
                </a:solidFill>
              </a:ln>
              <a:effectLst/>
            </c:spPr>
          </c:marker>
          <c:cat>
            <c:multiLvlStrRef>
              <c:f>'Pivot Tables'!$A$21:$A$41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2011</c:v>
                  </c:pt>
                  <c:pt idx="4">
                    <c:v>2012</c:v>
                  </c:pt>
                  <c:pt idx="8">
                    <c:v>2013</c:v>
                  </c:pt>
                  <c:pt idx="12">
                    <c:v>2014</c:v>
                  </c:pt>
                </c:lvl>
              </c:multiLvlStrCache>
            </c:multiLvlStrRef>
          </c:cat>
          <c:val>
            <c:numRef>
              <c:f>'Pivot Tables'!$B$21:$B$41</c:f>
              <c:numCache>
                <c:formatCode>_("$"* #,##0.00_);_("$"* \(#,##0.00\);_("$"* "-"??_);_(@_)</c:formatCode>
                <c:ptCount val="16"/>
                <c:pt idx="0">
                  <c:v>335780.27</c:v>
                </c:pt>
                <c:pt idx="1">
                  <c:v>478871.05000000005</c:v>
                </c:pt>
                <c:pt idx="2">
                  <c:v>613306.48</c:v>
                </c:pt>
                <c:pt idx="3">
                  <c:v>831493.84000000008</c:v>
                </c:pt>
                <c:pt idx="4">
                  <c:v>399367.85</c:v>
                </c:pt>
                <c:pt idx="5">
                  <c:v>625593.31000000006</c:v>
                </c:pt>
                <c:pt idx="6">
                  <c:v>737769.23</c:v>
                </c:pt>
                <c:pt idx="7">
                  <c:v>914709.52</c:v>
                </c:pt>
                <c:pt idx="8">
                  <c:v>565020</c:v>
                </c:pt>
                <c:pt idx="9">
                  <c:v>834839.83000000007</c:v>
                </c:pt>
                <c:pt idx="10">
                  <c:v>933037.37</c:v>
                </c:pt>
                <c:pt idx="11">
                  <c:v>1072850.83</c:v>
                </c:pt>
                <c:pt idx="12">
                  <c:v>689206.94</c:v>
                </c:pt>
                <c:pt idx="13">
                  <c:v>932987.33000000007</c:v>
                </c:pt>
                <c:pt idx="14">
                  <c:v>1196483.3899999999</c:v>
                </c:pt>
                <c:pt idx="15">
                  <c:v>1481190.01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A-4122-A912-D0132ECB8516}"/>
            </c:ext>
          </c:extLst>
        </c:ser>
        <c:ser>
          <c:idx val="1"/>
          <c:order val="1"/>
          <c:tx>
            <c:strRef>
              <c:f>'Pivot Tables'!$C$20</c:f>
              <c:strCache>
                <c:ptCount val="1"/>
                <c:pt idx="0">
                  <c:v>Sum of total_profit</c:v>
                </c:pt>
              </c:strCache>
            </c:strRef>
          </c:tx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tint val="77000"/>
                </a:schemeClr>
              </a:solidFill>
              <a:ln w="9525">
                <a:solidFill>
                  <a:schemeClr val="accent3">
                    <a:tint val="77000"/>
                  </a:schemeClr>
                </a:solidFill>
              </a:ln>
              <a:effectLst/>
            </c:spPr>
          </c:marker>
          <c:cat>
            <c:multiLvlStrRef>
              <c:f>'Pivot Tables'!$A$21:$A$41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2011</c:v>
                  </c:pt>
                  <c:pt idx="4">
                    <c:v>2012</c:v>
                  </c:pt>
                  <c:pt idx="8">
                    <c:v>2013</c:v>
                  </c:pt>
                  <c:pt idx="12">
                    <c:v>2014</c:v>
                  </c:pt>
                </c:lvl>
              </c:multiLvlStrCache>
            </c:multiLvlStrRef>
          </c:cat>
          <c:val>
            <c:numRef>
              <c:f>'Pivot Tables'!$C$21:$C$41</c:f>
              <c:numCache>
                <c:formatCode>_("$"* #,##0.00_);_("$"* \(#,##0.00\);_("$"* "-"??_);_(@_)</c:formatCode>
                <c:ptCount val="16"/>
                <c:pt idx="0">
                  <c:v>36043.19</c:v>
                </c:pt>
                <c:pt idx="1">
                  <c:v>48501.289999999994</c:v>
                </c:pt>
                <c:pt idx="2">
                  <c:v>65075.520000000004</c:v>
                </c:pt>
                <c:pt idx="3">
                  <c:v>99320.41</c:v>
                </c:pt>
                <c:pt idx="4">
                  <c:v>43394.569999999992</c:v>
                </c:pt>
                <c:pt idx="5">
                  <c:v>81650.78</c:v>
                </c:pt>
                <c:pt idx="6">
                  <c:v>86935.6</c:v>
                </c:pt>
                <c:pt idx="7">
                  <c:v>95434.35</c:v>
                </c:pt>
                <c:pt idx="8">
                  <c:v>74006.850000000006</c:v>
                </c:pt>
                <c:pt idx="9">
                  <c:v>93435.98000000001</c:v>
                </c:pt>
                <c:pt idx="10">
                  <c:v>98792.92</c:v>
                </c:pt>
                <c:pt idx="11">
                  <c:v>140699.09</c:v>
                </c:pt>
                <c:pt idx="12">
                  <c:v>85110.23000000001</c:v>
                </c:pt>
                <c:pt idx="13">
                  <c:v>101514.49</c:v>
                </c:pt>
                <c:pt idx="14">
                  <c:v>149558.31</c:v>
                </c:pt>
                <c:pt idx="15">
                  <c:v>167982.97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8A-4122-A912-D0132ECB8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191615"/>
        <c:axId val="64953311"/>
      </c:lineChart>
      <c:catAx>
        <c:axId val="69619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53311"/>
        <c:crosses val="autoZero"/>
        <c:auto val="1"/>
        <c:lblAlgn val="ctr"/>
        <c:lblOffset val="100"/>
        <c:noMultiLvlLbl val="0"/>
      </c:catAx>
      <c:valAx>
        <c:axId val="6495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19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[MainExcelFile.xlsx]Pivot Tables!Sales By Region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87198825394279"/>
          <c:y val="0.12173783160859522"/>
          <c:w val="0.70652840039197962"/>
          <c:h val="0.825930585908320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Tables'!$A$2:$A$15</c:f>
              <c:strCache>
                <c:ptCount val="13"/>
                <c:pt idx="0">
                  <c:v>Africa</c:v>
                </c:pt>
                <c:pt idx="1">
                  <c:v>Canada</c:v>
                </c:pt>
                <c:pt idx="2">
                  <c:v>Caribbean</c:v>
                </c:pt>
                <c:pt idx="3">
                  <c:v>Central</c:v>
                </c:pt>
                <c:pt idx="4">
                  <c:v>Central Asia</c:v>
                </c:pt>
                <c:pt idx="5">
                  <c:v>East</c:v>
                </c:pt>
                <c:pt idx="6">
                  <c:v>EMEA</c:v>
                </c:pt>
                <c:pt idx="7">
                  <c:v>North</c:v>
                </c:pt>
                <c:pt idx="8">
                  <c:v>North Asia</c:v>
                </c:pt>
                <c:pt idx="9">
                  <c:v>Oceania</c:v>
                </c:pt>
                <c:pt idx="10">
                  <c:v>South</c:v>
                </c:pt>
                <c:pt idx="11">
                  <c:v>Southeast Asia</c:v>
                </c:pt>
                <c:pt idx="12">
                  <c:v>West</c:v>
                </c:pt>
              </c:strCache>
            </c:strRef>
          </c:cat>
          <c:val>
            <c:numRef>
              <c:f>'Pivot Tables'!$B$2:$B$15</c:f>
              <c:numCache>
                <c:formatCode>_("$"* #,##0.00_);_("$"* \(#,##0.00\);_("$"* "-"??_);_(@_)</c:formatCode>
                <c:ptCount val="13"/>
                <c:pt idx="0">
                  <c:v>783773.37</c:v>
                </c:pt>
                <c:pt idx="1">
                  <c:v>66928.17</c:v>
                </c:pt>
                <c:pt idx="2">
                  <c:v>324280.89</c:v>
                </c:pt>
                <c:pt idx="3">
                  <c:v>2822303.89</c:v>
                </c:pt>
                <c:pt idx="4">
                  <c:v>752826.94</c:v>
                </c:pt>
                <c:pt idx="5">
                  <c:v>678781.36</c:v>
                </c:pt>
                <c:pt idx="6">
                  <c:v>806161.35</c:v>
                </c:pt>
                <c:pt idx="7">
                  <c:v>1248166.53</c:v>
                </c:pt>
                <c:pt idx="8">
                  <c:v>848310.01</c:v>
                </c:pt>
                <c:pt idx="9">
                  <c:v>1100185.69</c:v>
                </c:pt>
                <c:pt idx="10">
                  <c:v>1600907.17</c:v>
                </c:pt>
                <c:pt idx="11">
                  <c:v>884423.95</c:v>
                </c:pt>
                <c:pt idx="12">
                  <c:v>725457.93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8-49EC-A05A-2068F8AB1003}"/>
            </c:ext>
          </c:extLst>
        </c:ser>
        <c:ser>
          <c:idx val="1"/>
          <c:order val="1"/>
          <c:tx>
            <c:strRef>
              <c:f>'Pivot Tables'!$C$1</c:f>
              <c:strCache>
                <c:ptCount val="1"/>
                <c:pt idx="0">
                  <c:v>Sum of total_profit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Tables'!$A$2:$A$15</c:f>
              <c:strCache>
                <c:ptCount val="13"/>
                <c:pt idx="0">
                  <c:v>Africa</c:v>
                </c:pt>
                <c:pt idx="1">
                  <c:v>Canada</c:v>
                </c:pt>
                <c:pt idx="2">
                  <c:v>Caribbean</c:v>
                </c:pt>
                <c:pt idx="3">
                  <c:v>Central</c:v>
                </c:pt>
                <c:pt idx="4">
                  <c:v>Central Asia</c:v>
                </c:pt>
                <c:pt idx="5">
                  <c:v>East</c:v>
                </c:pt>
                <c:pt idx="6">
                  <c:v>EMEA</c:v>
                </c:pt>
                <c:pt idx="7">
                  <c:v>North</c:v>
                </c:pt>
                <c:pt idx="8">
                  <c:v>North Asia</c:v>
                </c:pt>
                <c:pt idx="9">
                  <c:v>Oceania</c:v>
                </c:pt>
                <c:pt idx="10">
                  <c:v>South</c:v>
                </c:pt>
                <c:pt idx="11">
                  <c:v>Southeast Asia</c:v>
                </c:pt>
                <c:pt idx="12">
                  <c:v>West</c:v>
                </c:pt>
              </c:strCache>
            </c:strRef>
          </c:cat>
          <c:val>
            <c:numRef>
              <c:f>'Pivot Tables'!$C$2:$C$15</c:f>
              <c:numCache>
                <c:formatCode>General</c:formatCode>
                <c:ptCount val="13"/>
                <c:pt idx="0">
                  <c:v>88871.13</c:v>
                </c:pt>
                <c:pt idx="1">
                  <c:v>17817.39</c:v>
                </c:pt>
                <c:pt idx="2">
                  <c:v>34571.35</c:v>
                </c:pt>
                <c:pt idx="3">
                  <c:v>311403.75</c:v>
                </c:pt>
                <c:pt idx="4">
                  <c:v>132479.89000000001</c:v>
                </c:pt>
                <c:pt idx="5">
                  <c:v>91522.84</c:v>
                </c:pt>
                <c:pt idx="6">
                  <c:v>43897.9</c:v>
                </c:pt>
                <c:pt idx="7">
                  <c:v>194597.41</c:v>
                </c:pt>
                <c:pt idx="8">
                  <c:v>165578.17000000001</c:v>
                </c:pt>
                <c:pt idx="9">
                  <c:v>120089.63</c:v>
                </c:pt>
                <c:pt idx="10">
                  <c:v>140355.94</c:v>
                </c:pt>
                <c:pt idx="11">
                  <c:v>17852.36</c:v>
                </c:pt>
                <c:pt idx="12">
                  <c:v>108418.79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08-49EC-A05A-2068F8AB1003}"/>
            </c:ext>
          </c:extLst>
        </c:ser>
        <c:ser>
          <c:idx val="2"/>
          <c:order val="2"/>
          <c:tx>
            <c:strRef>
              <c:f>'Pivot Tables'!$D$1</c:f>
              <c:strCache>
                <c:ptCount val="1"/>
                <c:pt idx="0">
                  <c:v>Sum of total_quantity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Tables'!$A$2:$A$15</c:f>
              <c:strCache>
                <c:ptCount val="13"/>
                <c:pt idx="0">
                  <c:v>Africa</c:v>
                </c:pt>
                <c:pt idx="1">
                  <c:v>Canada</c:v>
                </c:pt>
                <c:pt idx="2">
                  <c:v>Caribbean</c:v>
                </c:pt>
                <c:pt idx="3">
                  <c:v>Central</c:v>
                </c:pt>
                <c:pt idx="4">
                  <c:v>Central Asia</c:v>
                </c:pt>
                <c:pt idx="5">
                  <c:v>East</c:v>
                </c:pt>
                <c:pt idx="6">
                  <c:v>EMEA</c:v>
                </c:pt>
                <c:pt idx="7">
                  <c:v>North</c:v>
                </c:pt>
                <c:pt idx="8">
                  <c:v>North Asia</c:v>
                </c:pt>
                <c:pt idx="9">
                  <c:v>Oceania</c:v>
                </c:pt>
                <c:pt idx="10">
                  <c:v>South</c:v>
                </c:pt>
                <c:pt idx="11">
                  <c:v>Southeast Asia</c:v>
                </c:pt>
                <c:pt idx="12">
                  <c:v>West</c:v>
                </c:pt>
              </c:strCache>
            </c:strRef>
          </c:cat>
          <c:val>
            <c:numRef>
              <c:f>'Pivot Tables'!$D$2:$D$15</c:f>
              <c:numCache>
                <c:formatCode>General</c:formatCode>
                <c:ptCount val="13"/>
                <c:pt idx="0">
                  <c:v>10564</c:v>
                </c:pt>
                <c:pt idx="1">
                  <c:v>833</c:v>
                </c:pt>
                <c:pt idx="2">
                  <c:v>6299</c:v>
                </c:pt>
                <c:pt idx="3">
                  <c:v>41762</c:v>
                </c:pt>
                <c:pt idx="4">
                  <c:v>7715</c:v>
                </c:pt>
                <c:pt idx="5">
                  <c:v>10618</c:v>
                </c:pt>
                <c:pt idx="6">
                  <c:v>11517</c:v>
                </c:pt>
                <c:pt idx="7">
                  <c:v>18021</c:v>
                </c:pt>
                <c:pt idx="8">
                  <c:v>8851</c:v>
                </c:pt>
                <c:pt idx="9">
                  <c:v>12838</c:v>
                </c:pt>
                <c:pt idx="10">
                  <c:v>25206</c:v>
                </c:pt>
                <c:pt idx="11">
                  <c:v>11822</c:v>
                </c:pt>
                <c:pt idx="12">
                  <c:v>12266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08-49EC-A05A-2068F8AB1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758991"/>
        <c:axId val="60757071"/>
      </c:barChart>
      <c:catAx>
        <c:axId val="60758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57071"/>
        <c:crosses val="autoZero"/>
        <c:auto val="1"/>
        <c:lblAlgn val="ctr"/>
        <c:lblOffset val="100"/>
        <c:noMultiLvlLbl val="0"/>
      </c:catAx>
      <c:valAx>
        <c:axId val="6075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5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[MainExcelFile.xlsx]Pivot Tables!Category Performance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&amp; Profit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Tables'!$G$1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Tables'!$F$2:$F$22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Storage</c:v>
                  </c:pt>
                  <c:pt idx="6">
                    <c:v>Binders</c:v>
                  </c:pt>
                  <c:pt idx="7">
                    <c:v>Paper</c:v>
                  </c:pt>
                  <c:pt idx="8">
                    <c:v>Art</c:v>
                  </c:pt>
                  <c:pt idx="9">
                    <c:v>Envelopes</c:v>
                  </c:pt>
                  <c:pt idx="10">
                    <c:v>Supplies</c:v>
                  </c:pt>
                  <c:pt idx="11">
                    <c:v>Labels</c:v>
                  </c:pt>
                  <c:pt idx="12">
                    <c:v>Fasteners</c:v>
                  </c:pt>
                  <c:pt idx="13">
                    <c:v>Copiers</c:v>
                  </c:pt>
                  <c:pt idx="14">
                    <c:v>Phones</c:v>
                  </c:pt>
                  <c:pt idx="15">
                    <c:v>Accessories</c:v>
                  </c:pt>
                  <c:pt idx="16">
                    <c:v>Machines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Tables'!$G$2:$G$22</c:f>
              <c:numCache>
                <c:formatCode>_("$"* #,##0.00_);_("$"* \(#,##0.00\);_("$"* "-"??_);_(@_)</c:formatCode>
                <c:ptCount val="17"/>
                <c:pt idx="0">
                  <c:v>1610143.58</c:v>
                </c:pt>
                <c:pt idx="1">
                  <c:v>1628891.92</c:v>
                </c:pt>
                <c:pt idx="2">
                  <c:v>427789.25</c:v>
                </c:pt>
                <c:pt idx="3">
                  <c:v>836082.16</c:v>
                </c:pt>
                <c:pt idx="4">
                  <c:v>1114445.78</c:v>
                </c:pt>
                <c:pt idx="5">
                  <c:v>1232121.57</c:v>
                </c:pt>
                <c:pt idx="6">
                  <c:v>513641.22</c:v>
                </c:pt>
                <c:pt idx="7">
                  <c:v>280829.23</c:v>
                </c:pt>
                <c:pt idx="8">
                  <c:v>414429.96</c:v>
                </c:pt>
                <c:pt idx="9">
                  <c:v>188104.02</c:v>
                </c:pt>
                <c:pt idx="10">
                  <c:v>262430.26</c:v>
                </c:pt>
                <c:pt idx="11">
                  <c:v>78954.759999999995</c:v>
                </c:pt>
                <c:pt idx="12">
                  <c:v>87107.93</c:v>
                </c:pt>
                <c:pt idx="13">
                  <c:v>1604274.55</c:v>
                </c:pt>
                <c:pt idx="14">
                  <c:v>1878759.34</c:v>
                </c:pt>
                <c:pt idx="15">
                  <c:v>851117.55</c:v>
                </c:pt>
                <c:pt idx="16">
                  <c:v>843739.65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1-4627-8BAB-A3E60FE5571C}"/>
            </c:ext>
          </c:extLst>
        </c:ser>
        <c:ser>
          <c:idx val="1"/>
          <c:order val="1"/>
          <c:tx>
            <c:strRef>
              <c:f>'Pivot Tables'!$H$1</c:f>
              <c:strCache>
                <c:ptCount val="1"/>
                <c:pt idx="0">
                  <c:v>Sum of total_profit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Tables'!$F$2:$F$22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Storage</c:v>
                  </c:pt>
                  <c:pt idx="6">
                    <c:v>Binders</c:v>
                  </c:pt>
                  <c:pt idx="7">
                    <c:v>Paper</c:v>
                  </c:pt>
                  <c:pt idx="8">
                    <c:v>Art</c:v>
                  </c:pt>
                  <c:pt idx="9">
                    <c:v>Envelopes</c:v>
                  </c:pt>
                  <c:pt idx="10">
                    <c:v>Supplies</c:v>
                  </c:pt>
                  <c:pt idx="11">
                    <c:v>Labels</c:v>
                  </c:pt>
                  <c:pt idx="12">
                    <c:v>Fasteners</c:v>
                  </c:pt>
                  <c:pt idx="13">
                    <c:v>Copiers</c:v>
                  </c:pt>
                  <c:pt idx="14">
                    <c:v>Phones</c:v>
                  </c:pt>
                  <c:pt idx="15">
                    <c:v>Accessories</c:v>
                  </c:pt>
                  <c:pt idx="16">
                    <c:v>Machines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Tables'!$H$2:$H$22</c:f>
              <c:numCache>
                <c:formatCode>_("$"* #,##0.00_);_("$"* \(#,##0.00\);_("$"* "-"??_);_(@_)</c:formatCode>
                <c:ptCount val="17"/>
                <c:pt idx="0">
                  <c:v>175773.79</c:v>
                </c:pt>
                <c:pt idx="1">
                  <c:v>149702.69</c:v>
                </c:pt>
                <c:pt idx="2">
                  <c:v>55015.68</c:v>
                </c:pt>
                <c:pt idx="3">
                  <c:v>-72115.570000000007</c:v>
                </c:pt>
                <c:pt idx="4">
                  <c:v>156948.91</c:v>
                </c:pt>
                <c:pt idx="5">
                  <c:v>116354.42</c:v>
                </c:pt>
                <c:pt idx="6">
                  <c:v>78936.679999999993</c:v>
                </c:pt>
                <c:pt idx="7">
                  <c:v>70468.960000000006</c:v>
                </c:pt>
                <c:pt idx="8">
                  <c:v>66456.600000000006</c:v>
                </c:pt>
                <c:pt idx="9">
                  <c:v>32879.379999999997</c:v>
                </c:pt>
                <c:pt idx="10">
                  <c:v>26087.71</c:v>
                </c:pt>
                <c:pt idx="11">
                  <c:v>16091.88</c:v>
                </c:pt>
                <c:pt idx="12">
                  <c:v>11676.85</c:v>
                </c:pt>
                <c:pt idx="13">
                  <c:v>273505.25</c:v>
                </c:pt>
                <c:pt idx="14">
                  <c:v>233707.78</c:v>
                </c:pt>
                <c:pt idx="15">
                  <c:v>149544.89000000001</c:v>
                </c:pt>
                <c:pt idx="16">
                  <c:v>66390.67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41-4627-8BAB-A3E60FE5571C}"/>
            </c:ext>
          </c:extLst>
        </c:ser>
        <c:ser>
          <c:idx val="2"/>
          <c:order val="2"/>
          <c:tx>
            <c:strRef>
              <c:f>'Pivot Tables'!$I$1</c:f>
              <c:strCache>
                <c:ptCount val="1"/>
                <c:pt idx="0">
                  <c:v>Sum of avg_discount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Tables'!$F$2:$F$22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Storage</c:v>
                  </c:pt>
                  <c:pt idx="6">
                    <c:v>Binders</c:v>
                  </c:pt>
                  <c:pt idx="7">
                    <c:v>Paper</c:v>
                  </c:pt>
                  <c:pt idx="8">
                    <c:v>Art</c:v>
                  </c:pt>
                  <c:pt idx="9">
                    <c:v>Envelopes</c:v>
                  </c:pt>
                  <c:pt idx="10">
                    <c:v>Supplies</c:v>
                  </c:pt>
                  <c:pt idx="11">
                    <c:v>Labels</c:v>
                  </c:pt>
                  <c:pt idx="12">
                    <c:v>Fasteners</c:v>
                  </c:pt>
                  <c:pt idx="13">
                    <c:v>Copiers</c:v>
                  </c:pt>
                  <c:pt idx="14">
                    <c:v>Phones</c:v>
                  </c:pt>
                  <c:pt idx="15">
                    <c:v>Accessories</c:v>
                  </c:pt>
                  <c:pt idx="16">
                    <c:v>Machines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Tables'!$I$2:$I$22</c:f>
              <c:numCache>
                <c:formatCode>0%</c:formatCode>
                <c:ptCount val="17"/>
                <c:pt idx="0">
                  <c:v>0.15367500000000001</c:v>
                </c:pt>
                <c:pt idx="1">
                  <c:v>0.162746</c:v>
                </c:pt>
                <c:pt idx="2">
                  <c:v>0.150281</c:v>
                </c:pt>
                <c:pt idx="3">
                  <c:v>0.290931</c:v>
                </c:pt>
                <c:pt idx="4">
                  <c:v>0.14080200000000001</c:v>
                </c:pt>
                <c:pt idx="5">
                  <c:v>0.13780100000000001</c:v>
                </c:pt>
                <c:pt idx="6">
                  <c:v>0.180003</c:v>
                </c:pt>
                <c:pt idx="7">
                  <c:v>0.110231</c:v>
                </c:pt>
                <c:pt idx="8">
                  <c:v>0.11297500000000001</c:v>
                </c:pt>
                <c:pt idx="9">
                  <c:v>0.13042500000000001</c:v>
                </c:pt>
                <c:pt idx="10">
                  <c:v>0.128359</c:v>
                </c:pt>
                <c:pt idx="11">
                  <c:v>0.119903</c:v>
                </c:pt>
                <c:pt idx="12">
                  <c:v>0.141843</c:v>
                </c:pt>
                <c:pt idx="13">
                  <c:v>0.11702</c:v>
                </c:pt>
                <c:pt idx="14">
                  <c:v>0.14585100000000001</c:v>
                </c:pt>
                <c:pt idx="15">
                  <c:v>0.118621</c:v>
                </c:pt>
                <c:pt idx="16">
                  <c:v>0.169797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41-4627-8BAB-A3E60FE55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730575"/>
        <c:axId val="82729135"/>
      </c:barChart>
      <c:catAx>
        <c:axId val="82730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29135"/>
        <c:crosses val="autoZero"/>
        <c:auto val="1"/>
        <c:lblAlgn val="ctr"/>
        <c:lblOffset val="100"/>
        <c:noMultiLvlLbl val="0"/>
      </c:catAx>
      <c:valAx>
        <c:axId val="82729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3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[MainExcelFile.xlsx]Pivot Tables!Shipping Priority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Shipping Priority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Tables'!$G$27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Tables'!$F$28:$F$44</c:f>
              <c:multiLvlStrCache>
                <c:ptCount val="12"/>
                <c:lvl>
                  <c:pt idx="0">
                    <c:v>Critical</c:v>
                  </c:pt>
                  <c:pt idx="1">
                    <c:v>High</c:v>
                  </c:pt>
                  <c:pt idx="2">
                    <c:v>Medium</c:v>
                  </c:pt>
                  <c:pt idx="3">
                    <c:v>Critical</c:v>
                  </c:pt>
                  <c:pt idx="4">
                    <c:v>High</c:v>
                  </c:pt>
                  <c:pt idx="5">
                    <c:v>Medium</c:v>
                  </c:pt>
                  <c:pt idx="6">
                    <c:v>Critical</c:v>
                  </c:pt>
                  <c:pt idx="7">
                    <c:v>High</c:v>
                  </c:pt>
                  <c:pt idx="8">
                    <c:v>Medium</c:v>
                  </c:pt>
                  <c:pt idx="9">
                    <c:v>High</c:v>
                  </c:pt>
                  <c:pt idx="10">
                    <c:v>Low</c:v>
                  </c:pt>
                  <c:pt idx="11">
                    <c:v>Medium</c:v>
                  </c:pt>
                </c:lvl>
                <c:lvl>
                  <c:pt idx="0">
                    <c:v>First Class</c:v>
                  </c:pt>
                  <c:pt idx="3">
                    <c:v>Same Day</c:v>
                  </c:pt>
                  <c:pt idx="6">
                    <c:v>Second Class</c:v>
                  </c:pt>
                  <c:pt idx="9">
                    <c:v>Standard Class</c:v>
                  </c:pt>
                </c:lvl>
              </c:multiLvlStrCache>
            </c:multiLvlStrRef>
          </c:cat>
          <c:val>
            <c:numRef>
              <c:f>'Pivot Tables'!$G$28:$G$44</c:f>
              <c:numCache>
                <c:formatCode>_("$"* #,##0.00_);_("$"* \(#,##0.00\);_("$"* "-"??_);_(@_)</c:formatCode>
                <c:ptCount val="12"/>
                <c:pt idx="0">
                  <c:v>416906.92</c:v>
                </c:pt>
                <c:pt idx="1">
                  <c:v>829953.64</c:v>
                </c:pt>
                <c:pt idx="2">
                  <c:v>584116.43999999994</c:v>
                </c:pt>
                <c:pt idx="3">
                  <c:v>178624.51</c:v>
                </c:pt>
                <c:pt idx="4">
                  <c:v>315052.87</c:v>
                </c:pt>
                <c:pt idx="5">
                  <c:v>173524.94</c:v>
                </c:pt>
                <c:pt idx="6">
                  <c:v>390704.33</c:v>
                </c:pt>
                <c:pt idx="7">
                  <c:v>970082.11</c:v>
                </c:pt>
                <c:pt idx="8">
                  <c:v>1204885.98</c:v>
                </c:pt>
                <c:pt idx="9">
                  <c:v>1692461.47</c:v>
                </c:pt>
                <c:pt idx="10">
                  <c:v>567826.16</c:v>
                </c:pt>
                <c:pt idx="11">
                  <c:v>5318367.88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2-4067-8BAC-83303DB051E6}"/>
            </c:ext>
          </c:extLst>
        </c:ser>
        <c:ser>
          <c:idx val="1"/>
          <c:order val="1"/>
          <c:tx>
            <c:strRef>
              <c:f>'Pivot Tables'!$H$27</c:f>
              <c:strCache>
                <c:ptCount val="1"/>
                <c:pt idx="0">
                  <c:v>Sum of total_profit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Tables'!$F$28:$F$44</c:f>
              <c:multiLvlStrCache>
                <c:ptCount val="12"/>
                <c:lvl>
                  <c:pt idx="0">
                    <c:v>Critical</c:v>
                  </c:pt>
                  <c:pt idx="1">
                    <c:v>High</c:v>
                  </c:pt>
                  <c:pt idx="2">
                    <c:v>Medium</c:v>
                  </c:pt>
                  <c:pt idx="3">
                    <c:v>Critical</c:v>
                  </c:pt>
                  <c:pt idx="4">
                    <c:v>High</c:v>
                  </c:pt>
                  <c:pt idx="5">
                    <c:v>Medium</c:v>
                  </c:pt>
                  <c:pt idx="6">
                    <c:v>Critical</c:v>
                  </c:pt>
                  <c:pt idx="7">
                    <c:v>High</c:v>
                  </c:pt>
                  <c:pt idx="8">
                    <c:v>Medium</c:v>
                  </c:pt>
                  <c:pt idx="9">
                    <c:v>High</c:v>
                  </c:pt>
                  <c:pt idx="10">
                    <c:v>Low</c:v>
                  </c:pt>
                  <c:pt idx="11">
                    <c:v>Medium</c:v>
                  </c:pt>
                </c:lvl>
                <c:lvl>
                  <c:pt idx="0">
                    <c:v>First Class</c:v>
                  </c:pt>
                  <c:pt idx="3">
                    <c:v>Same Day</c:v>
                  </c:pt>
                  <c:pt idx="6">
                    <c:v>Second Class</c:v>
                  </c:pt>
                  <c:pt idx="9">
                    <c:v>Standard Class</c:v>
                  </c:pt>
                </c:lvl>
              </c:multiLvlStrCache>
            </c:multiLvlStrRef>
          </c:cat>
          <c:val>
            <c:numRef>
              <c:f>'Pivot Tables'!$H$28:$H$44</c:f>
              <c:numCache>
                <c:formatCode>_("$"* #,##0.00_);_("$"* \(#,##0.00\);_("$"* "-"??_);_(@_)</c:formatCode>
                <c:ptCount val="12"/>
                <c:pt idx="0">
                  <c:v>55831.12</c:v>
                </c:pt>
                <c:pt idx="1">
                  <c:v>83945.73</c:v>
                </c:pt>
                <c:pt idx="2">
                  <c:v>68327.78</c:v>
                </c:pt>
                <c:pt idx="3">
                  <c:v>19429.060000000001</c:v>
                </c:pt>
                <c:pt idx="4">
                  <c:v>34219.72</c:v>
                </c:pt>
                <c:pt idx="5">
                  <c:v>22524.45</c:v>
                </c:pt>
                <c:pt idx="6">
                  <c:v>48964.07</c:v>
                </c:pt>
                <c:pt idx="7">
                  <c:v>104578.31</c:v>
                </c:pt>
                <c:pt idx="8">
                  <c:v>139040.53</c:v>
                </c:pt>
                <c:pt idx="9">
                  <c:v>197629.2</c:v>
                </c:pt>
                <c:pt idx="10">
                  <c:v>58655.88</c:v>
                </c:pt>
                <c:pt idx="11">
                  <c:v>634310.69999999995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92-4067-8BAC-83303DB051E6}"/>
            </c:ext>
          </c:extLst>
        </c:ser>
        <c:ser>
          <c:idx val="2"/>
          <c:order val="2"/>
          <c:tx>
            <c:strRef>
              <c:f>'Pivot Tables'!$I$27</c:f>
              <c:strCache>
                <c:ptCount val="1"/>
                <c:pt idx="0">
                  <c:v>Sum of num_orders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Tables'!$F$28:$F$44</c:f>
              <c:multiLvlStrCache>
                <c:ptCount val="12"/>
                <c:lvl>
                  <c:pt idx="0">
                    <c:v>Critical</c:v>
                  </c:pt>
                  <c:pt idx="1">
                    <c:v>High</c:v>
                  </c:pt>
                  <c:pt idx="2">
                    <c:v>Medium</c:v>
                  </c:pt>
                  <c:pt idx="3">
                    <c:v>Critical</c:v>
                  </c:pt>
                  <c:pt idx="4">
                    <c:v>High</c:v>
                  </c:pt>
                  <c:pt idx="5">
                    <c:v>Medium</c:v>
                  </c:pt>
                  <c:pt idx="6">
                    <c:v>Critical</c:v>
                  </c:pt>
                  <c:pt idx="7">
                    <c:v>High</c:v>
                  </c:pt>
                  <c:pt idx="8">
                    <c:v>Medium</c:v>
                  </c:pt>
                  <c:pt idx="9">
                    <c:v>High</c:v>
                  </c:pt>
                  <c:pt idx="10">
                    <c:v>Low</c:v>
                  </c:pt>
                  <c:pt idx="11">
                    <c:v>Medium</c:v>
                  </c:pt>
                </c:lvl>
                <c:lvl>
                  <c:pt idx="0">
                    <c:v>First Class</c:v>
                  </c:pt>
                  <c:pt idx="3">
                    <c:v>Same Day</c:v>
                  </c:pt>
                  <c:pt idx="6">
                    <c:v>Second Class</c:v>
                  </c:pt>
                  <c:pt idx="9">
                    <c:v>Standard Class</c:v>
                  </c:pt>
                </c:lvl>
              </c:multiLvlStrCache>
            </c:multiLvlStrRef>
          </c:cat>
          <c:val>
            <c:numRef>
              <c:f>'Pivot Tables'!$I$28:$I$44</c:f>
              <c:numCache>
                <c:formatCode>General</c:formatCode>
                <c:ptCount val="12"/>
                <c:pt idx="0">
                  <c:v>1734</c:v>
                </c:pt>
                <c:pt idx="1">
                  <c:v>3413</c:v>
                </c:pt>
                <c:pt idx="2">
                  <c:v>2358</c:v>
                </c:pt>
                <c:pt idx="3">
                  <c:v>742</c:v>
                </c:pt>
                <c:pt idx="4">
                  <c:v>1269</c:v>
                </c:pt>
                <c:pt idx="5">
                  <c:v>690</c:v>
                </c:pt>
                <c:pt idx="6">
                  <c:v>1456</c:v>
                </c:pt>
                <c:pt idx="7">
                  <c:v>4010</c:v>
                </c:pt>
                <c:pt idx="8">
                  <c:v>4843</c:v>
                </c:pt>
                <c:pt idx="9">
                  <c:v>6809</c:v>
                </c:pt>
                <c:pt idx="10">
                  <c:v>2424</c:v>
                </c:pt>
                <c:pt idx="11">
                  <c:v>21542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92-4067-8BAC-83303DB05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929375"/>
        <c:axId val="39918335"/>
      </c:barChart>
      <c:catAx>
        <c:axId val="3992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18335"/>
        <c:crosses val="autoZero"/>
        <c:auto val="1"/>
        <c:lblAlgn val="ctr"/>
        <c:lblOffset val="100"/>
        <c:noMultiLvlLbl val="0"/>
      </c:catAx>
      <c:valAx>
        <c:axId val="3991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29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134697</xdr:colOff>
      <xdr:row>10</xdr:row>
      <xdr:rowOff>105835</xdr:rowOff>
    </xdr:from>
    <xdr:to>
      <xdr:col>4</xdr:col>
      <xdr:colOff>1500908</xdr:colOff>
      <xdr:row>39</xdr:row>
      <xdr:rowOff>134698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FD0475FC-3EF6-CF51-1FB1-412C157058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134696</xdr:colOff>
      <xdr:row>10</xdr:row>
      <xdr:rowOff>104583</xdr:rowOff>
    </xdr:from>
    <xdr:to>
      <xdr:col>11</xdr:col>
      <xdr:colOff>1354965</xdr:colOff>
      <xdr:row>39</xdr:row>
      <xdr:rowOff>134697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3E4AA59E-F153-2584-3D8E-21D4CCAA7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130848</xdr:colOff>
      <xdr:row>40</xdr:row>
      <xdr:rowOff>50316</xdr:rowOff>
    </xdr:from>
    <xdr:to>
      <xdr:col>11</xdr:col>
      <xdr:colOff>1356590</xdr:colOff>
      <xdr:row>67</xdr:row>
      <xdr:rowOff>53662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48112A8C-94F6-713C-C791-0710EFB77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134697</xdr:colOff>
      <xdr:row>40</xdr:row>
      <xdr:rowOff>44450</xdr:rowOff>
    </xdr:from>
    <xdr:to>
      <xdr:col>5</xdr:col>
      <xdr:colOff>9622</xdr:colOff>
      <xdr:row>67</xdr:row>
      <xdr:rowOff>53662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FF20FAF2-32E6-EE05-B9A6-C0CEA6EB9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don Pillar" refreshedDate="46223.492350347224" createdVersion="8" refreshedVersion="8" minRefreshableVersion="3" recordCount="13" xr:uid="{88BB7639-0ECA-4A0B-94EC-EC6C51B9A37B}">
  <cacheSource type="worksheet">
    <worksheetSource name="sales_by_region"/>
  </cacheSource>
  <cacheFields count="4">
    <cacheField name="region" numFmtId="0">
      <sharedItems count="13">
        <s v="Central"/>
        <s v="South"/>
        <s v="North"/>
        <s v="Oceania"/>
        <s v="Southeast Asia"/>
        <s v="North Asia"/>
        <s v="EMEA"/>
        <s v="Africa"/>
        <s v="Central Asia"/>
        <s v="West"/>
        <s v="East"/>
        <s v="Caribbean"/>
        <s v="Canada"/>
      </sharedItems>
    </cacheField>
    <cacheField name="total_sales" numFmtId="0">
      <sharedItems containsSemiMixedTypes="0" containsString="0" containsNumber="1" minValue="66928.17" maxValue="2822303.89"/>
    </cacheField>
    <cacheField name="total_profit" numFmtId="0">
      <sharedItems containsSemiMixedTypes="0" containsString="0" containsNumber="1" minValue="17817.39" maxValue="311403.75"/>
    </cacheField>
    <cacheField name="total_quantity" numFmtId="0">
      <sharedItems containsSemiMixedTypes="0" containsString="0" containsNumber="1" containsInteger="1" minValue="833" maxValue="41762"/>
    </cacheField>
  </cacheFields>
  <extLst>
    <ext xmlns:x14="http://schemas.microsoft.com/office/spreadsheetml/2009/9/main" uri="{725AE2AE-9491-48be-B2B4-4EB974FC3084}">
      <x14:pivotCacheDefinition pivotCacheId="22844810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don Pillar" refreshedDate="46223.509485763891" createdVersion="8" refreshedVersion="8" minRefreshableVersion="3" recordCount="48" xr:uid="{2EDE9217-59C4-4C10-ABDA-B27B3E6CC6F7}">
  <cacheSource type="worksheet">
    <worksheetSource name="monthly_trend"/>
  </cacheSource>
  <cacheFields count="6">
    <cacheField name="month_year" numFmtId="14">
      <sharedItems containsSemiMixedTypes="0" containsNonDate="0" containsDate="1" containsString="0" minDate="2011-01-01T00:00:00" maxDate="2014-12-02T00:00:00" count="48"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</sharedItems>
      <fieldGroup par="5"/>
    </cacheField>
    <cacheField name="total_sales" numFmtId="0">
      <sharedItems containsSemiMixedTypes="0" containsString="0" containsNumber="1" minValue="91152.23" maxValue="555279.30000000005"/>
    </cacheField>
    <cacheField name="total_profit" numFmtId="0">
      <sharedItems containsSemiMixedTypes="0" containsString="0" containsNumber="1" minValue="5584.98" maxValue="67979.520000000004"/>
    </cacheField>
    <cacheField name="Months (month_year)" numFmtId="0" databaseField="0">
      <fieldGroup base="0">
        <rangePr groupBy="months" startDate="2011-01-01T00:00:00" endDate="2014-12-02T00:00:00"/>
        <groupItems count="14">
          <s v="&lt;1/1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14"/>
        </groupItems>
      </fieldGroup>
    </cacheField>
    <cacheField name="Quarters (month_year)" numFmtId="0" databaseField="0">
      <fieldGroup base="0">
        <rangePr groupBy="quarters" startDate="2011-01-01T00:00:00" endDate="2014-12-02T00:00:00"/>
        <groupItems count="6">
          <s v="&lt;1/1/2011"/>
          <s v="Qtr1"/>
          <s v="Qtr2"/>
          <s v="Qtr3"/>
          <s v="Qtr4"/>
          <s v="&gt;12/2/2014"/>
        </groupItems>
      </fieldGroup>
    </cacheField>
    <cacheField name="Years (month_year)" numFmtId="0" databaseField="0">
      <fieldGroup base="0">
        <rangePr groupBy="years" startDate="2011-01-01T00:00:00" endDate="2014-12-02T00:00:00"/>
        <groupItems count="6">
          <s v="&lt;1/1/2011"/>
          <s v="2011"/>
          <s v="2012"/>
          <s v="2013"/>
          <s v="2014"/>
          <s v="&gt;12/2/2014"/>
        </groupItems>
      </fieldGroup>
    </cacheField>
  </cacheFields>
  <extLst>
    <ext xmlns:x14="http://schemas.microsoft.com/office/spreadsheetml/2009/9/main" uri="{725AE2AE-9491-48be-B2B4-4EB974FC3084}">
      <x14:pivotCacheDefinition pivotCacheId="101560864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don Pillar" refreshedDate="46223.513273379627" createdVersion="8" refreshedVersion="8" minRefreshableVersion="3" recordCount="17" xr:uid="{A9139715-FF7B-47DA-BC4C-EE067F38D981}">
  <cacheSource type="worksheet">
    <worksheetSource name="category_performance"/>
  </cacheSource>
  <cacheFields count="5">
    <cacheField name="category" numFmtId="0">
      <sharedItems count="3">
        <s v="Technology"/>
        <s v="Furniture"/>
        <s v="Office Supplies"/>
      </sharedItems>
    </cacheField>
    <cacheField name="sub_category" numFmtId="0">
      <sharedItems count="17">
        <s v="Copiers"/>
        <s v="Phones"/>
        <s v="Bookcases"/>
        <s v="Appliances"/>
        <s v="Chairs"/>
        <s v="Accessories"/>
        <s v="Storage"/>
        <s v="Binders"/>
        <s v="Paper"/>
        <s v="Art"/>
        <s v="Machines"/>
        <s v="Furnishings"/>
        <s v="Envelopes"/>
        <s v="Supplies"/>
        <s v="Labels"/>
        <s v="Fasteners"/>
        <s v="Tables"/>
      </sharedItems>
    </cacheField>
    <cacheField name="total_sales" numFmtId="0">
      <sharedItems containsSemiMixedTypes="0" containsString="0" containsNumber="1" minValue="78954.759999999995" maxValue="1878759.34" count="17">
        <n v="1604274.55"/>
        <n v="1878759.34"/>
        <n v="1610143.58"/>
        <n v="1114445.78"/>
        <n v="1628891.92"/>
        <n v="851117.55"/>
        <n v="1232121.57"/>
        <n v="513641.22"/>
        <n v="280829.23"/>
        <n v="414429.96"/>
        <n v="843739.65"/>
        <n v="427789.25"/>
        <n v="188104.02"/>
        <n v="262430.26"/>
        <n v="78954.759999999995"/>
        <n v="87107.93"/>
        <n v="836082.16"/>
      </sharedItems>
    </cacheField>
    <cacheField name="total_profit" numFmtId="0">
      <sharedItems containsSemiMixedTypes="0" containsString="0" containsNumber="1" minValue="-72115.570000000007" maxValue="273505.25"/>
    </cacheField>
    <cacheField name="avg_discount" numFmtId="0">
      <sharedItems containsSemiMixedTypes="0" containsString="0" containsNumber="1" minValue="0.110231" maxValue="0.290931"/>
    </cacheField>
  </cacheFields>
  <extLst>
    <ext xmlns:x14="http://schemas.microsoft.com/office/spreadsheetml/2009/9/main" uri="{725AE2AE-9491-48be-B2B4-4EB974FC3084}">
      <x14:pivotCacheDefinition pivotCacheId="839090144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don Pillar" refreshedDate="46223.514836921298" createdVersion="8" refreshedVersion="8" minRefreshableVersion="3" recordCount="12" xr:uid="{A4025A81-E76F-4934-A3DD-48E0B203F0C6}">
  <cacheSource type="worksheet">
    <worksheetSource name="shipping_priority"/>
  </cacheSource>
  <cacheFields count="5">
    <cacheField name="order_priority" numFmtId="0">
      <sharedItems count="4">
        <s v="Medium"/>
        <s v="High"/>
        <s v="Low"/>
        <s v="Critical"/>
      </sharedItems>
    </cacheField>
    <cacheField name="ship_mode" numFmtId="0">
      <sharedItems count="4">
        <s v="Standard Class"/>
        <s v="Second Class"/>
        <s v="First Class"/>
        <s v="Same Day"/>
      </sharedItems>
    </cacheField>
    <cacheField name="total_sales" numFmtId="0">
      <sharedItems containsSemiMixedTypes="0" containsString="0" containsNumber="1" minValue="173524.94" maxValue="5318367.88"/>
    </cacheField>
    <cacheField name="total_profit" numFmtId="0">
      <sharedItems containsSemiMixedTypes="0" containsString="0" containsNumber="1" minValue="19429.060000000001" maxValue="634310.69999999995"/>
    </cacheField>
    <cacheField name="num_orders" numFmtId="0">
      <sharedItems containsSemiMixedTypes="0" containsString="0" containsNumber="1" containsInteger="1" minValue="690" maxValue="215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2822303.89"/>
    <n v="311403.75"/>
    <n v="41762"/>
  </r>
  <r>
    <x v="1"/>
    <n v="1600907.17"/>
    <n v="140355.94"/>
    <n v="25206"/>
  </r>
  <r>
    <x v="2"/>
    <n v="1248166.53"/>
    <n v="194597.41"/>
    <n v="18021"/>
  </r>
  <r>
    <x v="3"/>
    <n v="1100185.69"/>
    <n v="120089.63"/>
    <n v="12838"/>
  </r>
  <r>
    <x v="4"/>
    <n v="884423.95"/>
    <n v="17852.36"/>
    <n v="11822"/>
  </r>
  <r>
    <x v="5"/>
    <n v="848310.01"/>
    <n v="165578.17000000001"/>
    <n v="8851"/>
  </r>
  <r>
    <x v="6"/>
    <n v="806161.35"/>
    <n v="43897.9"/>
    <n v="11517"/>
  </r>
  <r>
    <x v="7"/>
    <n v="783773.37"/>
    <n v="88871.13"/>
    <n v="10564"/>
  </r>
  <r>
    <x v="8"/>
    <n v="752826.94"/>
    <n v="132479.89000000001"/>
    <n v="7715"/>
  </r>
  <r>
    <x v="9"/>
    <n v="725457.93"/>
    <n v="108418.79"/>
    <n v="12266"/>
  </r>
  <r>
    <x v="10"/>
    <n v="678781.36"/>
    <n v="91522.84"/>
    <n v="10618"/>
  </r>
  <r>
    <x v="11"/>
    <n v="324280.89"/>
    <n v="34571.35"/>
    <n v="6299"/>
  </r>
  <r>
    <x v="12"/>
    <n v="66928.17"/>
    <n v="17817.39"/>
    <n v="83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98898.53"/>
    <n v="8321.76"/>
  </r>
  <r>
    <x v="1"/>
    <n v="91152.23"/>
    <n v="12417.85"/>
  </r>
  <r>
    <x v="2"/>
    <n v="145729.51"/>
    <n v="15303.58"/>
  </r>
  <r>
    <x v="3"/>
    <n v="116915.78"/>
    <n v="12902.31"/>
  </r>
  <r>
    <x v="4"/>
    <n v="146747.85999999999"/>
    <n v="12183.86"/>
  </r>
  <r>
    <x v="5"/>
    <n v="215207.41"/>
    <n v="23415.119999999999"/>
  </r>
  <r>
    <x v="6"/>
    <n v="115510.44"/>
    <n v="5584.98"/>
  </r>
  <r>
    <x v="7"/>
    <n v="207581.5"/>
    <n v="23713.64"/>
  </r>
  <r>
    <x v="8"/>
    <n v="290214.53999999998"/>
    <n v="35776.9"/>
  </r>
  <r>
    <x v="9"/>
    <n v="199071.29"/>
    <n v="25963.37"/>
  </r>
  <r>
    <x v="10"/>
    <n v="298496.64000000001"/>
    <n v="32709.1"/>
  </r>
  <r>
    <x v="11"/>
    <n v="333925.90999999997"/>
    <n v="40647.94"/>
  </r>
  <r>
    <x v="12"/>
    <n v="135780.78"/>
    <n v="10401.65"/>
  </r>
  <r>
    <x v="13"/>
    <n v="100510.22"/>
    <n v="15000.05"/>
  </r>
  <r>
    <x v="14"/>
    <n v="163076.85"/>
    <n v="17992.87"/>
  </r>
  <r>
    <x v="15"/>
    <n v="161052.42000000001"/>
    <n v="17367.009999999998"/>
  </r>
  <r>
    <x v="16"/>
    <n v="208365.13"/>
    <n v="29876.75"/>
  </r>
  <r>
    <x v="17"/>
    <n v="256175.76"/>
    <n v="34407.019999999997"/>
  </r>
  <r>
    <x v="18"/>
    <n v="145236.85999999999"/>
    <n v="15585.43"/>
  </r>
  <r>
    <x v="19"/>
    <n v="303143.12"/>
    <n v="43573.91"/>
  </r>
  <r>
    <x v="20"/>
    <n v="289389.25"/>
    <n v="27776.26"/>
  </r>
  <r>
    <x v="21"/>
    <n v="252939.89"/>
    <n v="30662.87"/>
  </r>
  <r>
    <x v="22"/>
    <n v="323512.56"/>
    <n v="31820.74"/>
  </r>
  <r>
    <x v="23"/>
    <n v="338257.07"/>
    <n v="32950.74"/>
  </r>
  <r>
    <x v="24"/>
    <n v="199186.09"/>
    <n v="26810.560000000001"/>
  </r>
  <r>
    <x v="25"/>
    <n v="167239.76999999999"/>
    <n v="23762.45"/>
  </r>
  <r>
    <x v="26"/>
    <n v="198594.14"/>
    <n v="23433.84"/>
  </r>
  <r>
    <x v="27"/>
    <n v="177821.44"/>
    <n v="19462.13"/>
  </r>
  <r>
    <x v="28"/>
    <n v="260498.63"/>
    <n v="28495.59"/>
  </r>
  <r>
    <x v="29"/>
    <n v="396519.76"/>
    <n v="45478.26"/>
  </r>
  <r>
    <x v="30"/>
    <n v="229928.92"/>
    <n v="28863.7"/>
  </r>
  <r>
    <x v="31"/>
    <n v="326488.94"/>
    <n v="31023.61"/>
  </r>
  <r>
    <x v="32"/>
    <n v="376619.51"/>
    <n v="38905.61"/>
  </r>
  <r>
    <x v="33"/>
    <n v="293406.77"/>
    <n v="42433.27"/>
  </r>
  <r>
    <x v="34"/>
    <n v="373989.57"/>
    <n v="48063.040000000001"/>
  </r>
  <r>
    <x v="35"/>
    <n v="405454.49"/>
    <n v="50202.78"/>
  </r>
  <r>
    <x v="36"/>
    <n v="241268.65"/>
    <n v="28001.38"/>
  </r>
  <r>
    <x v="37"/>
    <n v="184837.46"/>
    <n v="19751.7"/>
  </r>
  <r>
    <x v="38"/>
    <n v="263100.83"/>
    <n v="37357.15"/>
  </r>
  <r>
    <x v="39"/>
    <n v="242772.01"/>
    <n v="23782.31"/>
  </r>
  <r>
    <x v="40"/>
    <n v="288401.13"/>
    <n v="33953.620000000003"/>
  </r>
  <r>
    <x v="41"/>
    <n v="401814.19"/>
    <n v="43778.559999999998"/>
  </r>
  <r>
    <x v="42"/>
    <n v="258705.8"/>
    <n v="28035.81"/>
  </r>
  <r>
    <x v="43"/>
    <n v="456620.18"/>
    <n v="53542.98"/>
  </r>
  <r>
    <x v="44"/>
    <n v="481157.41"/>
    <n v="67979.520000000004"/>
  </r>
  <r>
    <x v="45"/>
    <n v="422766.85"/>
    <n v="58209.95"/>
  </r>
  <r>
    <x v="46"/>
    <n v="555279.30000000005"/>
    <n v="62856.62"/>
  </r>
  <r>
    <x v="47"/>
    <n v="503143.86"/>
    <n v="46916.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n v="273505.25"/>
    <n v="0.11702"/>
  </r>
  <r>
    <x v="0"/>
    <x v="1"/>
    <x v="1"/>
    <n v="233707.78"/>
    <n v="0.14585100000000001"/>
  </r>
  <r>
    <x v="1"/>
    <x v="2"/>
    <x v="2"/>
    <n v="175773.79"/>
    <n v="0.15367500000000001"/>
  </r>
  <r>
    <x v="2"/>
    <x v="3"/>
    <x v="3"/>
    <n v="156948.91"/>
    <n v="0.14080200000000001"/>
  </r>
  <r>
    <x v="1"/>
    <x v="4"/>
    <x v="4"/>
    <n v="149702.69"/>
    <n v="0.162746"/>
  </r>
  <r>
    <x v="0"/>
    <x v="5"/>
    <x v="5"/>
    <n v="149544.89000000001"/>
    <n v="0.118621"/>
  </r>
  <r>
    <x v="2"/>
    <x v="6"/>
    <x v="6"/>
    <n v="116354.42"/>
    <n v="0.13780100000000001"/>
  </r>
  <r>
    <x v="2"/>
    <x v="7"/>
    <x v="7"/>
    <n v="78936.679999999993"/>
    <n v="0.180003"/>
  </r>
  <r>
    <x v="2"/>
    <x v="8"/>
    <x v="8"/>
    <n v="70468.960000000006"/>
    <n v="0.110231"/>
  </r>
  <r>
    <x v="2"/>
    <x v="9"/>
    <x v="9"/>
    <n v="66456.600000000006"/>
    <n v="0.11297500000000001"/>
  </r>
  <r>
    <x v="0"/>
    <x v="10"/>
    <x v="10"/>
    <n v="66390.67"/>
    <n v="0.169797"/>
  </r>
  <r>
    <x v="1"/>
    <x v="11"/>
    <x v="11"/>
    <n v="55015.68"/>
    <n v="0.150281"/>
  </r>
  <r>
    <x v="2"/>
    <x v="12"/>
    <x v="12"/>
    <n v="32879.379999999997"/>
    <n v="0.13042500000000001"/>
  </r>
  <r>
    <x v="2"/>
    <x v="13"/>
    <x v="13"/>
    <n v="26087.71"/>
    <n v="0.128359"/>
  </r>
  <r>
    <x v="2"/>
    <x v="14"/>
    <x v="14"/>
    <n v="16091.88"/>
    <n v="0.119903"/>
  </r>
  <r>
    <x v="2"/>
    <x v="15"/>
    <x v="15"/>
    <n v="11676.85"/>
    <n v="0.141843"/>
  </r>
  <r>
    <x v="1"/>
    <x v="16"/>
    <x v="16"/>
    <n v="-72115.570000000007"/>
    <n v="0.29093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318367.88"/>
    <n v="634310.69999999995"/>
    <n v="21542"/>
  </r>
  <r>
    <x v="1"/>
    <x v="0"/>
    <n v="1692461.47"/>
    <n v="197629.2"/>
    <n v="6809"/>
  </r>
  <r>
    <x v="0"/>
    <x v="1"/>
    <n v="1204885.98"/>
    <n v="139040.53"/>
    <n v="4843"/>
  </r>
  <r>
    <x v="1"/>
    <x v="1"/>
    <n v="970082.11"/>
    <n v="104578.31"/>
    <n v="4010"/>
  </r>
  <r>
    <x v="1"/>
    <x v="2"/>
    <n v="829953.64"/>
    <n v="83945.73"/>
    <n v="3413"/>
  </r>
  <r>
    <x v="0"/>
    <x v="2"/>
    <n v="584116.43999999994"/>
    <n v="68327.78"/>
    <n v="2358"/>
  </r>
  <r>
    <x v="2"/>
    <x v="0"/>
    <n v="567826.16"/>
    <n v="58655.88"/>
    <n v="2424"/>
  </r>
  <r>
    <x v="3"/>
    <x v="2"/>
    <n v="416906.92"/>
    <n v="55831.12"/>
    <n v="1734"/>
  </r>
  <r>
    <x v="3"/>
    <x v="1"/>
    <n v="390704.33"/>
    <n v="48964.07"/>
    <n v="1456"/>
  </r>
  <r>
    <x v="1"/>
    <x v="3"/>
    <n v="315052.87"/>
    <n v="34219.72"/>
    <n v="1269"/>
  </r>
  <r>
    <x v="0"/>
    <x v="3"/>
    <n v="173524.94"/>
    <n v="22524.45"/>
    <n v="690"/>
  </r>
  <r>
    <x v="3"/>
    <x v="3"/>
    <n v="178624.51"/>
    <n v="19429.060000000001"/>
    <n v="7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DC36B-CE10-43C4-A968-80809B342471}" name="Shipping Priority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27:I44" firstHeaderRow="0" firstDataRow="1" firstDataCol="1"/>
  <pivotFields count="5">
    <pivotField axis="axisRow" showAll="0">
      <items count="5">
        <item x="3"/>
        <item x="1"/>
        <item x="2"/>
        <item x="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dataField="1" showAll="0"/>
    <pivotField dataField="1" showAll="0"/>
    <pivotField dataField="1" showAll="0"/>
  </pivotFields>
  <rowFields count="2">
    <field x="1"/>
    <field x="0"/>
  </rowFields>
  <rowItems count="17">
    <i>
      <x/>
    </i>
    <i r="1">
      <x/>
    </i>
    <i r="1">
      <x v="1"/>
    </i>
    <i r="1">
      <x v="3"/>
    </i>
    <i>
      <x v="1"/>
    </i>
    <i r="1">
      <x/>
    </i>
    <i r="1">
      <x v="1"/>
    </i>
    <i r="1">
      <x v="3"/>
    </i>
    <i>
      <x v="2"/>
    </i>
    <i r="1">
      <x/>
    </i>
    <i r="1">
      <x v="1"/>
    </i>
    <i r="1">
      <x v="3"/>
    </i>
    <i>
      <x v="3"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" fld="2" baseField="0" baseItem="0" numFmtId="44"/>
    <dataField name="Sum of total_profit" fld="3" baseField="0" baseItem="0" numFmtId="44"/>
    <dataField name="Sum of num_orders" fld="4" baseField="0" baseItem="0"/>
  </dataFields>
  <formats count="4">
    <format dxfId="1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4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3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D5E62-CEF7-4B68-87C4-3F9473D20359}" name="Category Performance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1:I22" firstHeaderRow="0" firstDataRow="1" firstDataCol="1"/>
  <pivotFields count="5">
    <pivotField axis="axisRow" showAll="0">
      <items count="4">
        <item x="1"/>
        <item x="2"/>
        <item x="0"/>
        <item t="default"/>
      </items>
    </pivotField>
    <pivotField axis="axisRow" showAll="0" sortType="descending">
      <items count="18">
        <item x="5"/>
        <item x="3"/>
        <item x="9"/>
        <item x="7"/>
        <item x="2"/>
        <item x="4"/>
        <item x="0"/>
        <item x="12"/>
        <item x="15"/>
        <item x="11"/>
        <item x="14"/>
        <item x="10"/>
        <item x="8"/>
        <item x="1"/>
        <item x="6"/>
        <item x="13"/>
        <item x="1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>
      <items count="18">
        <item x="14"/>
        <item x="15"/>
        <item x="12"/>
        <item x="13"/>
        <item x="8"/>
        <item x="9"/>
        <item x="11"/>
        <item x="7"/>
        <item x="16"/>
        <item x="10"/>
        <item x="5"/>
        <item x="3"/>
        <item x="6"/>
        <item x="0"/>
        <item x="2"/>
        <item x="4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14"/>
    </i>
    <i r="1">
      <x v="3"/>
    </i>
    <i r="1">
      <x v="12"/>
    </i>
    <i r="1">
      <x v="2"/>
    </i>
    <i r="1">
      <x v="7"/>
    </i>
    <i r="1">
      <x v="15"/>
    </i>
    <i r="1">
      <x v="10"/>
    </i>
    <i r="1">
      <x v="8"/>
    </i>
    <i>
      <x v="2"/>
    </i>
    <i r="1">
      <x v="6"/>
    </i>
    <i r="1">
      <x v="13"/>
    </i>
    <i r="1">
      <x/>
    </i>
    <i r="1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" fld="2" baseField="0" baseItem="0" numFmtId="44"/>
    <dataField name="Sum of total_profit" fld="3" baseField="0" baseItem="0" numFmtId="44"/>
    <dataField name="Sum of avg_discount" fld="4" baseField="0" baseItem="0"/>
  </dataFields>
  <formats count="5">
    <format dxfId="12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2">
      <pivotArea dataOnly="0" outline="0" fieldPosition="0">
        <references count="1">
          <reference field="4294967294" count="1">
            <x v="2"/>
          </reference>
        </references>
      </pivotArea>
    </format>
  </formats>
  <chartFormats count="3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3A51F-1D0E-45C9-8B00-1857410723F4}" name="Monthly Sales Trend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20:C41" firstHeaderRow="0" firstDataRow="1" firstDataCol="1"/>
  <pivotFields count="6">
    <pivotField axis="axisRow"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ascending">
      <items count="7">
        <item sd="0" x="0"/>
        <item sd="0" x="5"/>
        <item x="1"/>
        <item x="2"/>
        <item x="3"/>
        <item x="4"/>
        <item t="default"/>
      </items>
    </pivotField>
  </pivotFields>
  <rowFields count="4">
    <field x="5"/>
    <field x="4"/>
    <field x="3"/>
    <field x="0"/>
  </rowFields>
  <rowItems count="21"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>
      <x v="5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1" baseField="0" baseItem="0" numFmtId="44"/>
    <dataField name="Sum of total_profit" fld="2" baseField="0" baseItem="0" numFmtId="44"/>
  </dataFields>
  <formats count="8">
    <format dxfId="13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21">
      <pivotArea collapsedLevelsAreSubtotals="1" fieldPosition="0">
        <references count="3">
          <reference field="4294967294" count="1" selected="0">
            <x v="0"/>
          </reference>
          <reference field="4" count="1">
            <x v="1"/>
          </reference>
          <reference field="5" count="1" selected="0">
            <x v="2"/>
          </reference>
        </references>
      </pivotArea>
    </format>
    <format dxfId="120">
      <pivotArea collapsedLevelsAreSubtotals="1" fieldPosition="0">
        <references count="3">
          <reference field="4294967294" count="1" selected="0">
            <x v="0"/>
          </reference>
          <reference field="4" count="1">
            <x v="2"/>
          </reference>
          <reference field="5" count="1" selected="0">
            <x v="2"/>
          </reference>
        </references>
      </pivotArea>
    </format>
    <format dxfId="119">
      <pivotArea collapsedLevelsAreSubtotals="1" fieldPosition="0">
        <references count="3">
          <reference field="4294967294" count="1" selected="0">
            <x v="0"/>
          </reference>
          <reference field="4" count="1">
            <x v="3"/>
          </reference>
          <reference field="5" count="1" selected="0">
            <x v="2"/>
          </reference>
        </references>
      </pivotArea>
    </format>
    <format dxfId="118">
      <pivotArea collapsedLevelsAreSubtotals="1" fieldPosition="0">
        <references count="3">
          <reference field="4294967294" count="1" selected="0">
            <x v="0"/>
          </reference>
          <reference field="4" count="1">
            <x v="4"/>
          </reference>
          <reference field="5" count="1" selected="0">
            <x v="2"/>
          </reference>
        </references>
      </pivotArea>
    </format>
  </format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ED1DA-AFD5-478D-8FD1-3E7E247A56F9}" name="Sales By Region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D15" firstHeaderRow="0" firstDataRow="1" firstDataCol="1"/>
  <pivotFields count="4">
    <pivotField axis="axisRow" showAll="0">
      <items count="14">
        <item x="7"/>
        <item x="12"/>
        <item x="11"/>
        <item x="0"/>
        <item x="8"/>
        <item x="10"/>
        <item x="6"/>
        <item x="2"/>
        <item x="5"/>
        <item x="3"/>
        <item x="1"/>
        <item x="4"/>
        <item x="9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" fld="1" baseField="0" baseItem="0" numFmtId="44"/>
    <dataField name="Sum of total_profit" fld="2" baseField="0" baseItem="0"/>
    <dataField name="Sum of total_quantity" fld="3" baseField="0" baseItem="0"/>
  </dataFields>
  <formats count="2">
    <format dxfId="12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3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3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98F245C-BC68-4787-A3FC-176FC7B0AC87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total_sales" tableColumnId="2"/>
      <queryTableField id="3" name="total_profit" tableColumnId="3"/>
      <queryTableField id="4" name="total_quantity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36D3DE3C-AA46-42B1-A8C9-3E5E3B279724}" autoFormatId="16" applyNumberFormats="0" applyBorderFormats="0" applyFontFormats="0" applyPatternFormats="0" applyAlignmentFormats="0" applyWidthHeightFormats="0">
  <queryTableRefresh nextId="4">
    <queryTableFields count="3">
      <queryTableField id="1" name="customer_name" tableColumnId="1"/>
      <queryTableField id="2" name="total_sales" tableColumnId="2"/>
      <queryTableField id="3" name="total_profi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5DF24E9-8A06-44E9-9269-FC723F81C3BC}" autoFormatId="16" applyNumberFormats="0" applyBorderFormats="0" applyFontFormats="0" applyPatternFormats="0" applyAlignmentFormats="0" applyWidthHeightFormats="0">
  <queryTableRefresh nextId="4">
    <queryTableFields count="3">
      <queryTableField id="1" name="month_year" tableColumnId="1"/>
      <queryTableField id="2" name="total_sales" tableColumnId="2"/>
      <queryTableField id="3" name="total_profi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1D014AF0-FD80-483F-B1D3-E176C3CEE70B}" autoFormatId="16" applyNumberFormats="0" applyBorderFormats="0" applyFontFormats="0" applyPatternFormats="0" applyAlignmentFormats="0" applyWidthHeightFormats="0">
  <queryTableRefresh nextId="6">
    <queryTableFields count="5">
      <queryTableField id="1" name="category" tableColumnId="1"/>
      <queryTableField id="2" name="sub_category" tableColumnId="2"/>
      <queryTableField id="3" name="total_sales" tableColumnId="3"/>
      <queryTableField id="4" name="total_profit" tableColumnId="4"/>
      <queryTableField id="5" name="avg_discount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E7254CEB-A8ED-46A6-B8DC-61320CAFE26A}" autoFormatId="16" applyNumberFormats="0" applyBorderFormats="0" applyFontFormats="0" applyPatternFormats="0" applyAlignmentFormats="0" applyWidthHeightFormats="0">
  <queryTableRefresh nextId="6">
    <queryTableFields count="5">
      <queryTableField id="1" name="order_priority" tableColumnId="1"/>
      <queryTableField id="2" name="ship_mode" tableColumnId="2"/>
      <queryTableField id="3" name="total_sales" tableColumnId="3"/>
      <queryTableField id="4" name="total_profit" tableColumnId="4"/>
      <queryTableField id="5" name="num_order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81D486B5-4588-43DF-BA0F-24937AE0C9E2}" autoFormatId="16" applyNumberFormats="0" applyBorderFormats="0" applyFontFormats="0" applyPatternFormats="0" applyAlignmentFormats="0" applyWidthHeightFormats="0">
  <queryTableRefresh nextId="4">
    <queryTableFields count="3">
      <queryTableField id="1" name="month_year" tableColumnId="1"/>
      <queryTableField id="2" name="monthly_sales" tableColumnId="2"/>
      <queryTableField id="3" name="running_total_sale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39C82-65E2-419C-9AC3-2490861B9ED5}" name="sales_by_region" displayName="sales_by_region" ref="A1:D14" tableType="queryTable" totalsRowShown="0">
  <autoFilter ref="A1:D14" xr:uid="{75439C82-65E2-419C-9AC3-2490861B9ED5}"/>
  <tableColumns count="4">
    <tableColumn id="1" xr3:uid="{F25FB4A7-4AC2-460E-A011-9AB130497D01}" uniqueName="1" name="region" queryTableFieldId="1" dataDxfId="144"/>
    <tableColumn id="2" xr3:uid="{33790CCE-E61C-492E-A4BC-02159AD408B1}" uniqueName="2" name="total_sales" queryTableFieldId="2"/>
    <tableColumn id="3" xr3:uid="{9E963119-37E7-4724-92BB-C82580FDA9B7}" uniqueName="3" name="total_profit" queryTableFieldId="3"/>
    <tableColumn id="4" xr3:uid="{CE7CFB21-3F1E-48A8-AFC8-05298DD9EEFF}" uniqueName="4" name="total_quantity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E7823B-E4B7-47DF-80D7-C3CB94A43AE6}" name="top_customers" displayName="top_customers" ref="A15:C25" tableType="queryTable" totalsRowShown="0">
  <autoFilter ref="A15:C25" xr:uid="{2FE7823B-E4B7-47DF-80D7-C3CB94A43AE6}"/>
  <tableColumns count="3">
    <tableColumn id="1" xr3:uid="{3D075A2A-BA42-4CC4-A0C1-060AAEA15700}" uniqueName="1" name="customer_name" queryTableFieldId="1" dataDxfId="143"/>
    <tableColumn id="2" xr3:uid="{45339561-7C75-4B99-B8BB-9FA7C1670BF9}" uniqueName="2" name="total_sales" queryTableFieldId="2"/>
    <tableColumn id="3" xr3:uid="{0592D3F1-4D3F-4648-BAC0-33DEEA9D7A43}" uniqueName="3" name="total_profit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5C1F41-633E-4CDE-90F7-794BBD8E14CA}" name="monthly_trend" displayName="monthly_trend" ref="A26:C74" tableType="queryTable" totalsRowShown="0">
  <autoFilter ref="A26:C74" xr:uid="{D35C1F41-633E-4CDE-90F7-794BBD8E14CA}"/>
  <tableColumns count="3">
    <tableColumn id="1" xr3:uid="{DC1A0791-C26A-4759-AFDB-326406196226}" uniqueName="1" name="month_year" queryTableFieldId="1" dataDxfId="142"/>
    <tableColumn id="2" xr3:uid="{B82147E5-CA36-4A69-98A6-D58A732621BE}" uniqueName="2" name="total_sales" queryTableFieldId="2"/>
    <tableColumn id="3" xr3:uid="{62F436D1-C02D-4422-9B71-865B7511FAA7}" uniqueName="3" name="total_profi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65BA14-D154-4FCC-8B30-3D33BA486062}" name="category_performance" displayName="category_performance" ref="J1:N18" tableType="queryTable" totalsRowShown="0">
  <autoFilter ref="J1:N18" xr:uid="{3865BA14-D154-4FCC-8B30-3D33BA486062}"/>
  <tableColumns count="5">
    <tableColumn id="1" xr3:uid="{47B186E7-DDB8-4AD8-AA64-2DB76A8BEEB8}" uniqueName="1" name="category" queryTableFieldId="1" dataDxfId="141"/>
    <tableColumn id="2" xr3:uid="{9DB24E14-5162-4F9A-A0CB-977CA32E9932}" uniqueName="2" name="sub_category" queryTableFieldId="2" dataDxfId="140"/>
    <tableColumn id="3" xr3:uid="{4D6A81D8-23F8-45E7-B879-4B26418B3D4C}" uniqueName="3" name="total_sales" queryTableFieldId="3"/>
    <tableColumn id="4" xr3:uid="{57482612-DF5B-4BD8-BD6A-B3CE10D12248}" uniqueName="4" name="total_profit" queryTableFieldId="4"/>
    <tableColumn id="5" xr3:uid="{98598F88-96F3-4400-A08A-8B3088944CC9}" uniqueName="5" name="avg_discount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0BD9F8-0733-4B54-8D82-D815037585AC}" name="shipping_priority" displayName="shipping_priority" ref="J19:N31" tableType="queryTable" totalsRowShown="0">
  <autoFilter ref="J19:N31" xr:uid="{C60BD9F8-0733-4B54-8D82-D815037585AC}"/>
  <tableColumns count="5">
    <tableColumn id="1" xr3:uid="{0784359F-704A-410A-9AE4-ED2917B65AE8}" uniqueName="1" name="order_priority" queryTableFieldId="1" dataDxfId="139"/>
    <tableColumn id="2" xr3:uid="{AAD61408-FAE0-4796-8936-CC89899FEBAA}" uniqueName="2" name="ship_mode" queryTableFieldId="2" dataDxfId="138"/>
    <tableColumn id="3" xr3:uid="{D52DAC15-CFD0-4DEC-9C6E-D771151ACAC7}" uniqueName="3" name="total_sales" queryTableFieldId="3"/>
    <tableColumn id="4" xr3:uid="{2E73EB57-CD11-4572-85B9-1028444827A2}" uniqueName="4" name="total_profit" queryTableFieldId="4"/>
    <tableColumn id="5" xr3:uid="{B390033D-CA41-4800-A98C-0E283C11FFEA}" uniqueName="5" name="num_orders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67588D-ABD9-4AA5-B65B-337BDBEA1EED}" name="running_total" displayName="running_total" ref="J32:L80" tableType="queryTable" totalsRowShown="0">
  <autoFilter ref="J32:L80" xr:uid="{B067588D-ABD9-4AA5-B65B-337BDBEA1EED}"/>
  <tableColumns count="3">
    <tableColumn id="1" xr3:uid="{4A6A7F50-6F63-43D4-A220-8271969C0C6D}" uniqueName="1" name="month_year" queryTableFieldId="1" dataDxfId="137"/>
    <tableColumn id="2" xr3:uid="{685C8C3B-4F10-4AAB-B225-BC10A503D4E3}" uniqueName="2" name="monthly_sales" queryTableFieldId="2"/>
    <tableColumn id="3" xr3:uid="{D31F0880-D077-424F-A7A7-AB85A6532DD9}" uniqueName="3" name="running_total_sales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5E0CE-A2DD-4E2F-9528-B6120D380EF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4FA0-5447-462E-96B0-B12EDEA1EBC1}">
  <dimension ref="A1:N80"/>
  <sheetViews>
    <sheetView topLeftCell="A13" zoomScale="93" zoomScaleNormal="93" workbookViewId="0">
      <selection activeCell="D32" sqref="D32"/>
    </sheetView>
  </sheetViews>
  <sheetFormatPr defaultRowHeight="15" x14ac:dyDescent="0.25"/>
  <cols>
    <col min="1" max="1" width="13.85546875" bestFit="1" customWidth="1"/>
    <col min="2" max="2" width="13" bestFit="1" customWidth="1"/>
    <col min="3" max="3" width="13.28515625" bestFit="1" customWidth="1"/>
    <col min="4" max="4" width="15.85546875" bestFit="1" customWidth="1"/>
    <col min="10" max="10" width="13.85546875" bestFit="1" customWidth="1"/>
    <col min="11" max="11" width="16.42578125" bestFit="1" customWidth="1"/>
    <col min="12" max="12" width="21" bestFit="1" customWidth="1"/>
    <col min="13" max="13" width="13.28515625" bestFit="1" customWidth="1"/>
    <col min="14" max="14" width="14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J1" t="s">
        <v>29</v>
      </c>
      <c r="K1" t="s">
        <v>30</v>
      </c>
      <c r="L1" t="s">
        <v>1</v>
      </c>
      <c r="M1" t="s">
        <v>2</v>
      </c>
      <c r="N1" t="s">
        <v>31</v>
      </c>
    </row>
    <row r="2" spans="1:14" x14ac:dyDescent="0.25">
      <c r="A2" t="s">
        <v>4</v>
      </c>
      <c r="B2">
        <v>2822303.89</v>
      </c>
      <c r="C2">
        <v>311403.75</v>
      </c>
      <c r="D2">
        <v>41762</v>
      </c>
      <c r="J2" t="s">
        <v>32</v>
      </c>
      <c r="K2" t="s">
        <v>33</v>
      </c>
      <c r="L2">
        <v>1604274.55</v>
      </c>
      <c r="M2">
        <v>273505.25</v>
      </c>
      <c r="N2">
        <v>0.11702</v>
      </c>
    </row>
    <row r="3" spans="1:14" x14ac:dyDescent="0.25">
      <c r="A3" t="s">
        <v>5</v>
      </c>
      <c r="B3">
        <v>1600907.17</v>
      </c>
      <c r="C3">
        <v>140355.94</v>
      </c>
      <c r="D3">
        <v>25206</v>
      </c>
      <c r="J3" t="s">
        <v>32</v>
      </c>
      <c r="K3" t="s">
        <v>34</v>
      </c>
      <c r="L3">
        <v>1878759.34</v>
      </c>
      <c r="M3">
        <v>233707.78</v>
      </c>
      <c r="N3">
        <v>0.14585100000000001</v>
      </c>
    </row>
    <row r="4" spans="1:14" x14ac:dyDescent="0.25">
      <c r="A4" t="s">
        <v>6</v>
      </c>
      <c r="B4">
        <v>1248166.53</v>
      </c>
      <c r="C4">
        <v>194597.41</v>
      </c>
      <c r="D4">
        <v>18021</v>
      </c>
      <c r="J4" t="s">
        <v>35</v>
      </c>
      <c r="K4" t="s">
        <v>36</v>
      </c>
      <c r="L4">
        <v>1610143.58</v>
      </c>
      <c r="M4">
        <v>175773.79</v>
      </c>
      <c r="N4">
        <v>0.15367500000000001</v>
      </c>
    </row>
    <row r="5" spans="1:14" x14ac:dyDescent="0.25">
      <c r="A5" t="s">
        <v>7</v>
      </c>
      <c r="B5">
        <v>1100185.69</v>
      </c>
      <c r="C5">
        <v>120089.63</v>
      </c>
      <c r="D5">
        <v>12838</v>
      </c>
      <c r="J5" t="s">
        <v>37</v>
      </c>
      <c r="K5" t="s">
        <v>38</v>
      </c>
      <c r="L5">
        <v>1114445.78</v>
      </c>
      <c r="M5">
        <v>156948.91</v>
      </c>
      <c r="N5">
        <v>0.14080200000000001</v>
      </c>
    </row>
    <row r="6" spans="1:14" x14ac:dyDescent="0.25">
      <c r="A6" t="s">
        <v>8</v>
      </c>
      <c r="B6">
        <v>884423.95</v>
      </c>
      <c r="C6">
        <v>17852.36</v>
      </c>
      <c r="D6">
        <v>11822</v>
      </c>
      <c r="J6" t="s">
        <v>35</v>
      </c>
      <c r="K6" t="s">
        <v>39</v>
      </c>
      <c r="L6">
        <v>1628891.92</v>
      </c>
      <c r="M6">
        <v>149702.69</v>
      </c>
      <c r="N6">
        <v>0.162746</v>
      </c>
    </row>
    <row r="7" spans="1:14" x14ac:dyDescent="0.25">
      <c r="A7" t="s">
        <v>9</v>
      </c>
      <c r="B7">
        <v>848310.01</v>
      </c>
      <c r="C7">
        <v>165578.17000000001</v>
      </c>
      <c r="D7">
        <v>8851</v>
      </c>
      <c r="J7" t="s">
        <v>32</v>
      </c>
      <c r="K7" t="s">
        <v>40</v>
      </c>
      <c r="L7">
        <v>851117.55</v>
      </c>
      <c r="M7">
        <v>149544.89000000001</v>
      </c>
      <c r="N7">
        <v>0.118621</v>
      </c>
    </row>
    <row r="8" spans="1:14" x14ac:dyDescent="0.25">
      <c r="A8" t="s">
        <v>10</v>
      </c>
      <c r="B8">
        <v>806161.35</v>
      </c>
      <c r="C8">
        <v>43897.9</v>
      </c>
      <c r="D8">
        <v>11517</v>
      </c>
      <c r="J8" t="s">
        <v>37</v>
      </c>
      <c r="K8" t="s">
        <v>41</v>
      </c>
      <c r="L8">
        <v>1232121.57</v>
      </c>
      <c r="M8">
        <v>116354.42</v>
      </c>
      <c r="N8">
        <v>0.13780100000000001</v>
      </c>
    </row>
    <row r="9" spans="1:14" x14ac:dyDescent="0.25">
      <c r="A9" t="s">
        <v>11</v>
      </c>
      <c r="B9">
        <v>783773.37</v>
      </c>
      <c r="C9">
        <v>88871.13</v>
      </c>
      <c r="D9">
        <v>10564</v>
      </c>
      <c r="J9" t="s">
        <v>37</v>
      </c>
      <c r="K9" t="s">
        <v>42</v>
      </c>
      <c r="L9">
        <v>513641.22</v>
      </c>
      <c r="M9">
        <v>78936.679999999993</v>
      </c>
      <c r="N9">
        <v>0.180003</v>
      </c>
    </row>
    <row r="10" spans="1:14" x14ac:dyDescent="0.25">
      <c r="A10" t="s">
        <v>12</v>
      </c>
      <c r="B10">
        <v>752826.94</v>
      </c>
      <c r="C10">
        <v>132479.89000000001</v>
      </c>
      <c r="D10">
        <v>7715</v>
      </c>
      <c r="J10" t="s">
        <v>37</v>
      </c>
      <c r="K10" t="s">
        <v>43</v>
      </c>
      <c r="L10">
        <v>280829.23</v>
      </c>
      <c r="M10">
        <v>70468.960000000006</v>
      </c>
      <c r="N10">
        <v>0.110231</v>
      </c>
    </row>
    <row r="11" spans="1:14" x14ac:dyDescent="0.25">
      <c r="A11" t="s">
        <v>13</v>
      </c>
      <c r="B11">
        <v>725457.93</v>
      </c>
      <c r="C11">
        <v>108418.79</v>
      </c>
      <c r="D11">
        <v>12266</v>
      </c>
      <c r="J11" t="s">
        <v>37</v>
      </c>
      <c r="K11" t="s">
        <v>44</v>
      </c>
      <c r="L11">
        <v>414429.96</v>
      </c>
      <c r="M11">
        <v>66456.600000000006</v>
      </c>
      <c r="N11">
        <v>0.11297500000000001</v>
      </c>
    </row>
    <row r="12" spans="1:14" x14ac:dyDescent="0.25">
      <c r="A12" t="s">
        <v>14</v>
      </c>
      <c r="B12">
        <v>678781.36</v>
      </c>
      <c r="C12">
        <v>91522.84</v>
      </c>
      <c r="D12">
        <v>10618</v>
      </c>
      <c r="J12" t="s">
        <v>32</v>
      </c>
      <c r="K12" t="s">
        <v>45</v>
      </c>
      <c r="L12">
        <v>843739.65</v>
      </c>
      <c r="M12">
        <v>66390.67</v>
      </c>
      <c r="N12">
        <v>0.169797</v>
      </c>
    </row>
    <row r="13" spans="1:14" x14ac:dyDescent="0.25">
      <c r="A13" t="s">
        <v>15</v>
      </c>
      <c r="B13">
        <v>324280.89</v>
      </c>
      <c r="C13">
        <v>34571.35</v>
      </c>
      <c r="D13">
        <v>6299</v>
      </c>
      <c r="J13" t="s">
        <v>35</v>
      </c>
      <c r="K13" t="s">
        <v>46</v>
      </c>
      <c r="L13">
        <v>427789.25</v>
      </c>
      <c r="M13">
        <v>55015.68</v>
      </c>
      <c r="N13">
        <v>0.150281</v>
      </c>
    </row>
    <row r="14" spans="1:14" x14ac:dyDescent="0.25">
      <c r="A14" t="s">
        <v>16</v>
      </c>
      <c r="B14">
        <v>66928.17</v>
      </c>
      <c r="C14">
        <v>17817.39</v>
      </c>
      <c r="D14">
        <v>833</v>
      </c>
      <c r="J14" t="s">
        <v>37</v>
      </c>
      <c r="K14" t="s">
        <v>47</v>
      </c>
      <c r="L14">
        <v>188104.02</v>
      </c>
      <c r="M14">
        <v>32879.379999999997</v>
      </c>
      <c r="N14">
        <v>0.13042500000000001</v>
      </c>
    </row>
    <row r="15" spans="1:14" x14ac:dyDescent="0.25">
      <c r="A15" t="s">
        <v>17</v>
      </c>
      <c r="B15" t="s">
        <v>1</v>
      </c>
      <c r="C15" t="s">
        <v>2</v>
      </c>
      <c r="J15" t="s">
        <v>37</v>
      </c>
      <c r="K15" t="s">
        <v>48</v>
      </c>
      <c r="L15">
        <v>262430.26</v>
      </c>
      <c r="M15">
        <v>26087.71</v>
      </c>
      <c r="N15">
        <v>0.128359</v>
      </c>
    </row>
    <row r="16" spans="1:14" x14ac:dyDescent="0.25">
      <c r="A16" t="s">
        <v>18</v>
      </c>
      <c r="B16">
        <v>40488.089999999997</v>
      </c>
      <c r="C16">
        <v>6312.01</v>
      </c>
      <c r="J16" t="s">
        <v>37</v>
      </c>
      <c r="K16" t="s">
        <v>49</v>
      </c>
      <c r="L16">
        <v>78954.759999999995</v>
      </c>
      <c r="M16">
        <v>16091.88</v>
      </c>
      <c r="N16">
        <v>0.119903</v>
      </c>
    </row>
    <row r="17" spans="1:14" x14ac:dyDescent="0.25">
      <c r="A17" t="s">
        <v>19</v>
      </c>
      <c r="B17">
        <v>37457.339999999997</v>
      </c>
      <c r="C17">
        <v>8672.9</v>
      </c>
      <c r="J17" t="s">
        <v>37</v>
      </c>
      <c r="K17" t="s">
        <v>50</v>
      </c>
      <c r="L17">
        <v>87107.93</v>
      </c>
      <c r="M17">
        <v>11676.85</v>
      </c>
      <c r="N17">
        <v>0.141843</v>
      </c>
    </row>
    <row r="18" spans="1:14" x14ac:dyDescent="0.25">
      <c r="A18" t="s">
        <v>20</v>
      </c>
      <c r="B18">
        <v>35550.97</v>
      </c>
      <c r="C18">
        <v>5214.1099999999997</v>
      </c>
      <c r="J18" t="s">
        <v>35</v>
      </c>
      <c r="K18" t="s">
        <v>51</v>
      </c>
      <c r="L18">
        <v>836082.16</v>
      </c>
      <c r="M18">
        <v>-72115.570000000007</v>
      </c>
      <c r="N18">
        <v>0.290931</v>
      </c>
    </row>
    <row r="19" spans="1:14" x14ac:dyDescent="0.25">
      <c r="A19" t="s">
        <v>21</v>
      </c>
      <c r="B19">
        <v>35187.089999999997</v>
      </c>
      <c r="C19">
        <v>5603.33</v>
      </c>
      <c r="J19" t="s">
        <v>52</v>
      </c>
      <c r="K19" t="s">
        <v>53</v>
      </c>
      <c r="L19" t="s">
        <v>1</v>
      </c>
      <c r="M19" t="s">
        <v>2</v>
      </c>
      <c r="N19" t="s">
        <v>54</v>
      </c>
    </row>
    <row r="20" spans="1:14" x14ac:dyDescent="0.25">
      <c r="A20" t="s">
        <v>22</v>
      </c>
      <c r="B20">
        <v>35170.97</v>
      </c>
      <c r="C20">
        <v>-409.72</v>
      </c>
      <c r="J20" t="s">
        <v>55</v>
      </c>
      <c r="K20" t="s">
        <v>56</v>
      </c>
      <c r="L20">
        <v>5318367.88</v>
      </c>
      <c r="M20">
        <v>634310.69999999995</v>
      </c>
      <c r="N20">
        <v>21542</v>
      </c>
    </row>
    <row r="21" spans="1:14" x14ac:dyDescent="0.25">
      <c r="A21" t="s">
        <v>23</v>
      </c>
      <c r="B21">
        <v>32310.46</v>
      </c>
      <c r="C21">
        <v>3595.87</v>
      </c>
      <c r="J21" t="s">
        <v>57</v>
      </c>
      <c r="K21" t="s">
        <v>56</v>
      </c>
      <c r="L21">
        <v>1692461.47</v>
      </c>
      <c r="M21">
        <v>197629.2</v>
      </c>
      <c r="N21">
        <v>6809</v>
      </c>
    </row>
    <row r="22" spans="1:14" x14ac:dyDescent="0.25">
      <c r="A22" t="s">
        <v>24</v>
      </c>
      <c r="B22">
        <v>31781.29</v>
      </c>
      <c r="C22">
        <v>1542.87</v>
      </c>
      <c r="J22" t="s">
        <v>55</v>
      </c>
      <c r="K22" t="s">
        <v>58</v>
      </c>
      <c r="L22">
        <v>1204885.98</v>
      </c>
      <c r="M22">
        <v>139040.53</v>
      </c>
      <c r="N22">
        <v>4843</v>
      </c>
    </row>
    <row r="23" spans="1:14" x14ac:dyDescent="0.25">
      <c r="A23" t="s">
        <v>25</v>
      </c>
      <c r="B23">
        <v>30400.69</v>
      </c>
      <c r="C23">
        <v>4609.3</v>
      </c>
      <c r="J23" t="s">
        <v>57</v>
      </c>
      <c r="K23" t="s">
        <v>58</v>
      </c>
      <c r="L23">
        <v>970082.11</v>
      </c>
      <c r="M23">
        <v>104578.31</v>
      </c>
      <c r="N23">
        <v>4010</v>
      </c>
    </row>
    <row r="24" spans="1:14" x14ac:dyDescent="0.25">
      <c r="A24" t="s">
        <v>26</v>
      </c>
      <c r="B24">
        <v>30288.46</v>
      </c>
      <c r="C24">
        <v>6265.85</v>
      </c>
      <c r="J24" t="s">
        <v>57</v>
      </c>
      <c r="K24" t="s">
        <v>59</v>
      </c>
      <c r="L24">
        <v>829953.64</v>
      </c>
      <c r="M24">
        <v>83945.73</v>
      </c>
      <c r="N24">
        <v>3413</v>
      </c>
    </row>
    <row r="25" spans="1:14" x14ac:dyDescent="0.25">
      <c r="A25" t="s">
        <v>27</v>
      </c>
      <c r="B25">
        <v>30243.599999999999</v>
      </c>
      <c r="C25">
        <v>7816.57</v>
      </c>
      <c r="J25" t="s">
        <v>55</v>
      </c>
      <c r="K25" t="s">
        <v>59</v>
      </c>
      <c r="L25">
        <v>584116.43999999994</v>
      </c>
      <c r="M25">
        <v>68327.78</v>
      </c>
      <c r="N25">
        <v>2358</v>
      </c>
    </row>
    <row r="26" spans="1:14" x14ac:dyDescent="0.25">
      <c r="A26" t="s">
        <v>28</v>
      </c>
      <c r="B26" t="s">
        <v>1</v>
      </c>
      <c r="C26" t="s">
        <v>2</v>
      </c>
      <c r="J26" t="s">
        <v>60</v>
      </c>
      <c r="K26" t="s">
        <v>56</v>
      </c>
      <c r="L26">
        <v>567826.16</v>
      </c>
      <c r="M26">
        <v>58655.88</v>
      </c>
      <c r="N26">
        <v>2424</v>
      </c>
    </row>
    <row r="27" spans="1:14" x14ac:dyDescent="0.25">
      <c r="A27" s="1">
        <v>40544</v>
      </c>
      <c r="B27">
        <v>98898.53</v>
      </c>
      <c r="C27">
        <v>8321.76</v>
      </c>
      <c r="J27" t="s">
        <v>61</v>
      </c>
      <c r="K27" t="s">
        <v>59</v>
      </c>
      <c r="L27">
        <v>416906.92</v>
      </c>
      <c r="M27">
        <v>55831.12</v>
      </c>
      <c r="N27">
        <v>1734</v>
      </c>
    </row>
    <row r="28" spans="1:14" x14ac:dyDescent="0.25">
      <c r="A28" s="1">
        <v>40575</v>
      </c>
      <c r="B28">
        <v>91152.23</v>
      </c>
      <c r="C28">
        <v>12417.85</v>
      </c>
      <c r="J28" t="s">
        <v>61</v>
      </c>
      <c r="K28" t="s">
        <v>58</v>
      </c>
      <c r="L28">
        <v>390704.33</v>
      </c>
      <c r="M28">
        <v>48964.07</v>
      </c>
      <c r="N28">
        <v>1456</v>
      </c>
    </row>
    <row r="29" spans="1:14" x14ac:dyDescent="0.25">
      <c r="A29" s="1">
        <v>40603</v>
      </c>
      <c r="B29">
        <v>145729.51</v>
      </c>
      <c r="C29">
        <v>15303.58</v>
      </c>
      <c r="J29" t="s">
        <v>57</v>
      </c>
      <c r="K29" t="s">
        <v>62</v>
      </c>
      <c r="L29">
        <v>315052.87</v>
      </c>
      <c r="M29">
        <v>34219.72</v>
      </c>
      <c r="N29">
        <v>1269</v>
      </c>
    </row>
    <row r="30" spans="1:14" x14ac:dyDescent="0.25">
      <c r="A30" s="1">
        <v>40634</v>
      </c>
      <c r="B30">
        <v>116915.78</v>
      </c>
      <c r="C30">
        <v>12902.31</v>
      </c>
      <c r="J30" t="s">
        <v>55</v>
      </c>
      <c r="K30" t="s">
        <v>62</v>
      </c>
      <c r="L30">
        <v>173524.94</v>
      </c>
      <c r="M30">
        <v>22524.45</v>
      </c>
      <c r="N30">
        <v>690</v>
      </c>
    </row>
    <row r="31" spans="1:14" x14ac:dyDescent="0.25">
      <c r="A31" s="1">
        <v>40664</v>
      </c>
      <c r="B31">
        <v>146747.85999999999</v>
      </c>
      <c r="C31">
        <v>12183.86</v>
      </c>
      <c r="J31" t="s">
        <v>61</v>
      </c>
      <c r="K31" t="s">
        <v>62</v>
      </c>
      <c r="L31">
        <v>178624.51</v>
      </c>
      <c r="M31">
        <v>19429.060000000001</v>
      </c>
      <c r="N31">
        <v>742</v>
      </c>
    </row>
    <row r="32" spans="1:14" x14ac:dyDescent="0.25">
      <c r="A32" s="1">
        <v>40695</v>
      </c>
      <c r="B32">
        <v>215207.41</v>
      </c>
      <c r="C32">
        <v>23415.119999999999</v>
      </c>
      <c r="J32" t="s">
        <v>28</v>
      </c>
      <c r="K32" t="s">
        <v>63</v>
      </c>
      <c r="L32" t="s">
        <v>64</v>
      </c>
    </row>
    <row r="33" spans="1:12" x14ac:dyDescent="0.25">
      <c r="A33" s="1">
        <v>40725</v>
      </c>
      <c r="B33">
        <v>115510.44</v>
      </c>
      <c r="C33">
        <v>5584.98</v>
      </c>
      <c r="J33" s="1">
        <v>40544</v>
      </c>
      <c r="K33">
        <v>98898.53</v>
      </c>
      <c r="L33">
        <v>98898.53</v>
      </c>
    </row>
    <row r="34" spans="1:12" x14ac:dyDescent="0.25">
      <c r="A34" s="1">
        <v>40756</v>
      </c>
      <c r="B34">
        <v>207581.5</v>
      </c>
      <c r="C34">
        <v>23713.64</v>
      </c>
      <c r="J34" s="1">
        <v>40575</v>
      </c>
      <c r="K34">
        <v>91152.23</v>
      </c>
      <c r="L34">
        <v>190050.76</v>
      </c>
    </row>
    <row r="35" spans="1:12" x14ac:dyDescent="0.25">
      <c r="A35" s="1">
        <v>40787</v>
      </c>
      <c r="B35">
        <v>290214.53999999998</v>
      </c>
      <c r="C35">
        <v>35776.9</v>
      </c>
      <c r="J35" s="1">
        <v>40603</v>
      </c>
      <c r="K35">
        <v>145729.51</v>
      </c>
      <c r="L35">
        <v>335780.27</v>
      </c>
    </row>
    <row r="36" spans="1:12" x14ac:dyDescent="0.25">
      <c r="A36" s="1">
        <v>40817</v>
      </c>
      <c r="B36">
        <v>199071.29</v>
      </c>
      <c r="C36">
        <v>25963.37</v>
      </c>
      <c r="J36" s="1">
        <v>40634</v>
      </c>
      <c r="K36">
        <v>116915.78</v>
      </c>
      <c r="L36">
        <v>452696.05</v>
      </c>
    </row>
    <row r="37" spans="1:12" x14ac:dyDescent="0.25">
      <c r="A37" s="1">
        <v>40848</v>
      </c>
      <c r="B37">
        <v>298496.64000000001</v>
      </c>
      <c r="C37">
        <v>32709.1</v>
      </c>
      <c r="J37" s="1">
        <v>40664</v>
      </c>
      <c r="K37">
        <v>146747.85999999999</v>
      </c>
      <c r="L37">
        <v>599443.91</v>
      </c>
    </row>
    <row r="38" spans="1:12" x14ac:dyDescent="0.25">
      <c r="A38" s="1">
        <v>40878</v>
      </c>
      <c r="B38">
        <v>333925.90999999997</v>
      </c>
      <c r="C38">
        <v>40647.94</v>
      </c>
      <c r="J38" s="1">
        <v>40695</v>
      </c>
      <c r="K38">
        <v>215207.41</v>
      </c>
      <c r="L38">
        <v>814651.32</v>
      </c>
    </row>
    <row r="39" spans="1:12" x14ac:dyDescent="0.25">
      <c r="A39" s="1">
        <v>40909</v>
      </c>
      <c r="B39">
        <v>135780.78</v>
      </c>
      <c r="C39">
        <v>10401.65</v>
      </c>
      <c r="J39" s="1">
        <v>40725</v>
      </c>
      <c r="K39">
        <v>115510.44</v>
      </c>
      <c r="L39">
        <v>930161.76</v>
      </c>
    </row>
    <row r="40" spans="1:12" x14ac:dyDescent="0.25">
      <c r="A40" s="1">
        <v>40940</v>
      </c>
      <c r="B40">
        <v>100510.22</v>
      </c>
      <c r="C40">
        <v>15000.05</v>
      </c>
      <c r="J40" s="1">
        <v>40756</v>
      </c>
      <c r="K40">
        <v>207581.5</v>
      </c>
      <c r="L40">
        <v>1137743.26</v>
      </c>
    </row>
    <row r="41" spans="1:12" x14ac:dyDescent="0.25">
      <c r="A41" s="1">
        <v>40969</v>
      </c>
      <c r="B41">
        <v>163076.85</v>
      </c>
      <c r="C41">
        <v>17992.87</v>
      </c>
      <c r="J41" s="1">
        <v>40787</v>
      </c>
      <c r="K41">
        <v>290214.53999999998</v>
      </c>
      <c r="L41">
        <v>1427957.8</v>
      </c>
    </row>
    <row r="42" spans="1:12" x14ac:dyDescent="0.25">
      <c r="A42" s="1">
        <v>41000</v>
      </c>
      <c r="B42">
        <v>161052.42000000001</v>
      </c>
      <c r="C42">
        <v>17367.009999999998</v>
      </c>
      <c r="J42" s="1">
        <v>40817</v>
      </c>
      <c r="K42">
        <v>199071.29</v>
      </c>
      <c r="L42">
        <v>1627029.09</v>
      </c>
    </row>
    <row r="43" spans="1:12" x14ac:dyDescent="0.25">
      <c r="A43" s="1">
        <v>41030</v>
      </c>
      <c r="B43">
        <v>208365.13</v>
      </c>
      <c r="C43">
        <v>29876.75</v>
      </c>
      <c r="J43" s="1">
        <v>40848</v>
      </c>
      <c r="K43">
        <v>298496.64000000001</v>
      </c>
      <c r="L43">
        <v>1925525.73</v>
      </c>
    </row>
    <row r="44" spans="1:12" x14ac:dyDescent="0.25">
      <c r="A44" s="1">
        <v>41061</v>
      </c>
      <c r="B44">
        <v>256175.76</v>
      </c>
      <c r="C44">
        <v>34407.019999999997</v>
      </c>
      <c r="J44" s="1">
        <v>40878</v>
      </c>
      <c r="K44">
        <v>333925.90999999997</v>
      </c>
      <c r="L44">
        <v>2259451.64</v>
      </c>
    </row>
    <row r="45" spans="1:12" x14ac:dyDescent="0.25">
      <c r="A45" s="1">
        <v>41091</v>
      </c>
      <c r="B45">
        <v>145236.85999999999</v>
      </c>
      <c r="C45">
        <v>15585.43</v>
      </c>
      <c r="J45" s="1">
        <v>40909</v>
      </c>
      <c r="K45">
        <v>135780.78</v>
      </c>
      <c r="L45">
        <v>2395232.42</v>
      </c>
    </row>
    <row r="46" spans="1:12" x14ac:dyDescent="0.25">
      <c r="A46" s="1">
        <v>41122</v>
      </c>
      <c r="B46">
        <v>303143.12</v>
      </c>
      <c r="C46">
        <v>43573.91</v>
      </c>
      <c r="J46" s="1">
        <v>40940</v>
      </c>
      <c r="K46">
        <v>100510.22</v>
      </c>
      <c r="L46">
        <v>2495742.64</v>
      </c>
    </row>
    <row r="47" spans="1:12" x14ac:dyDescent="0.25">
      <c r="A47" s="1">
        <v>41153</v>
      </c>
      <c r="B47">
        <v>289389.25</v>
      </c>
      <c r="C47">
        <v>27776.26</v>
      </c>
      <c r="J47" s="1">
        <v>40969</v>
      </c>
      <c r="K47">
        <v>163076.85</v>
      </c>
      <c r="L47">
        <v>2658819.4900000002</v>
      </c>
    </row>
    <row r="48" spans="1:12" x14ac:dyDescent="0.25">
      <c r="A48" s="1">
        <v>41183</v>
      </c>
      <c r="B48">
        <v>252939.89</v>
      </c>
      <c r="C48">
        <v>30662.87</v>
      </c>
      <c r="J48" s="1">
        <v>41000</v>
      </c>
      <c r="K48">
        <v>161052.42000000001</v>
      </c>
      <c r="L48">
        <v>2819871.91</v>
      </c>
    </row>
    <row r="49" spans="1:12" x14ac:dyDescent="0.25">
      <c r="A49" s="1">
        <v>41214</v>
      </c>
      <c r="B49">
        <v>323512.56</v>
      </c>
      <c r="C49">
        <v>31820.74</v>
      </c>
      <c r="J49" s="1">
        <v>41030</v>
      </c>
      <c r="K49">
        <v>208365.13</v>
      </c>
      <c r="L49">
        <v>3028237.04</v>
      </c>
    </row>
    <row r="50" spans="1:12" x14ac:dyDescent="0.25">
      <c r="A50" s="1">
        <v>41244</v>
      </c>
      <c r="B50">
        <v>338257.07</v>
      </c>
      <c r="C50">
        <v>32950.74</v>
      </c>
      <c r="J50" s="1">
        <v>41061</v>
      </c>
      <c r="K50">
        <v>256175.76</v>
      </c>
      <c r="L50">
        <v>3284412.8</v>
      </c>
    </row>
    <row r="51" spans="1:12" x14ac:dyDescent="0.25">
      <c r="A51" s="1">
        <v>41275</v>
      </c>
      <c r="B51">
        <v>199186.09</v>
      </c>
      <c r="C51">
        <v>26810.560000000001</v>
      </c>
      <c r="J51" s="1">
        <v>41091</v>
      </c>
      <c r="K51">
        <v>145236.85999999999</v>
      </c>
      <c r="L51">
        <v>3429649.66</v>
      </c>
    </row>
    <row r="52" spans="1:12" x14ac:dyDescent="0.25">
      <c r="A52" s="1">
        <v>41306</v>
      </c>
      <c r="B52">
        <v>167239.76999999999</v>
      </c>
      <c r="C52">
        <v>23762.45</v>
      </c>
      <c r="J52" s="1">
        <v>41122</v>
      </c>
      <c r="K52">
        <v>303143.12</v>
      </c>
      <c r="L52">
        <v>3732792.78</v>
      </c>
    </row>
    <row r="53" spans="1:12" x14ac:dyDescent="0.25">
      <c r="A53" s="1">
        <v>41334</v>
      </c>
      <c r="B53">
        <v>198594.14</v>
      </c>
      <c r="C53">
        <v>23433.84</v>
      </c>
      <c r="J53" s="1">
        <v>41153</v>
      </c>
      <c r="K53">
        <v>289389.25</v>
      </c>
      <c r="L53">
        <v>4022182.03</v>
      </c>
    </row>
    <row r="54" spans="1:12" x14ac:dyDescent="0.25">
      <c r="A54" s="1">
        <v>41365</v>
      </c>
      <c r="B54">
        <v>177821.44</v>
      </c>
      <c r="C54">
        <v>19462.13</v>
      </c>
      <c r="J54" s="1">
        <v>41183</v>
      </c>
      <c r="K54">
        <v>252939.89</v>
      </c>
      <c r="L54">
        <v>4275121.92</v>
      </c>
    </row>
    <row r="55" spans="1:12" x14ac:dyDescent="0.25">
      <c r="A55" s="1">
        <v>41395</v>
      </c>
      <c r="B55">
        <v>260498.63</v>
      </c>
      <c r="C55">
        <v>28495.59</v>
      </c>
      <c r="J55" s="1">
        <v>41214</v>
      </c>
      <c r="K55">
        <v>323512.56</v>
      </c>
      <c r="L55">
        <v>4598634.4800000004</v>
      </c>
    </row>
    <row r="56" spans="1:12" x14ac:dyDescent="0.25">
      <c r="A56" s="1">
        <v>41426</v>
      </c>
      <c r="B56">
        <v>396519.76</v>
      </c>
      <c r="C56">
        <v>45478.26</v>
      </c>
      <c r="J56" s="1">
        <v>41244</v>
      </c>
      <c r="K56">
        <v>338257.07</v>
      </c>
      <c r="L56">
        <v>4936891.55</v>
      </c>
    </row>
    <row r="57" spans="1:12" x14ac:dyDescent="0.25">
      <c r="A57" s="1">
        <v>41456</v>
      </c>
      <c r="B57">
        <v>229928.92</v>
      </c>
      <c r="C57">
        <v>28863.7</v>
      </c>
      <c r="J57" s="1">
        <v>41275</v>
      </c>
      <c r="K57">
        <v>199186.09</v>
      </c>
      <c r="L57">
        <v>5136077.6399999997</v>
      </c>
    </row>
    <row r="58" spans="1:12" x14ac:dyDescent="0.25">
      <c r="A58" s="1">
        <v>41487</v>
      </c>
      <c r="B58">
        <v>326488.94</v>
      </c>
      <c r="C58">
        <v>31023.61</v>
      </c>
      <c r="J58" s="1">
        <v>41306</v>
      </c>
      <c r="K58">
        <v>167239.76999999999</v>
      </c>
      <c r="L58">
        <v>5303317.41</v>
      </c>
    </row>
    <row r="59" spans="1:12" x14ac:dyDescent="0.25">
      <c r="A59" s="1">
        <v>41518</v>
      </c>
      <c r="B59">
        <v>376619.51</v>
      </c>
      <c r="C59">
        <v>38905.61</v>
      </c>
      <c r="J59" s="1">
        <v>41334</v>
      </c>
      <c r="K59">
        <v>198594.14</v>
      </c>
      <c r="L59">
        <v>5501911.5499999998</v>
      </c>
    </row>
    <row r="60" spans="1:12" x14ac:dyDescent="0.25">
      <c r="A60" s="1">
        <v>41548</v>
      </c>
      <c r="B60">
        <v>293406.77</v>
      </c>
      <c r="C60">
        <v>42433.27</v>
      </c>
      <c r="J60" s="1">
        <v>41365</v>
      </c>
      <c r="K60">
        <v>177821.44</v>
      </c>
      <c r="L60">
        <v>5679732.9900000002</v>
      </c>
    </row>
    <row r="61" spans="1:12" x14ac:dyDescent="0.25">
      <c r="A61" s="1">
        <v>41579</v>
      </c>
      <c r="B61">
        <v>373989.57</v>
      </c>
      <c r="C61">
        <v>48063.040000000001</v>
      </c>
      <c r="J61" s="1">
        <v>41395</v>
      </c>
      <c r="K61">
        <v>260498.63</v>
      </c>
      <c r="L61">
        <v>5940231.6200000001</v>
      </c>
    </row>
    <row r="62" spans="1:12" x14ac:dyDescent="0.25">
      <c r="A62" s="1">
        <v>41609</v>
      </c>
      <c r="B62">
        <v>405454.49</v>
      </c>
      <c r="C62">
        <v>50202.78</v>
      </c>
      <c r="J62" s="1">
        <v>41426</v>
      </c>
      <c r="K62">
        <v>396519.76</v>
      </c>
      <c r="L62">
        <v>6336751.3799999999</v>
      </c>
    </row>
    <row r="63" spans="1:12" x14ac:dyDescent="0.25">
      <c r="A63" s="1">
        <v>41640</v>
      </c>
      <c r="B63">
        <v>241268.65</v>
      </c>
      <c r="C63">
        <v>28001.38</v>
      </c>
      <c r="J63" s="1">
        <v>41456</v>
      </c>
      <c r="K63">
        <v>229928.92</v>
      </c>
      <c r="L63">
        <v>6566680.2999999998</v>
      </c>
    </row>
    <row r="64" spans="1:12" x14ac:dyDescent="0.25">
      <c r="A64" s="1">
        <v>41671</v>
      </c>
      <c r="B64">
        <v>184837.46</v>
      </c>
      <c r="C64">
        <v>19751.7</v>
      </c>
      <c r="J64" s="1">
        <v>41487</v>
      </c>
      <c r="K64">
        <v>326488.94</v>
      </c>
      <c r="L64">
        <v>6893169.2400000002</v>
      </c>
    </row>
    <row r="65" spans="1:12" x14ac:dyDescent="0.25">
      <c r="A65" s="1">
        <v>41699</v>
      </c>
      <c r="B65">
        <v>263100.83</v>
      </c>
      <c r="C65">
        <v>37357.15</v>
      </c>
      <c r="J65" s="1">
        <v>41518</v>
      </c>
      <c r="K65">
        <v>376619.51</v>
      </c>
      <c r="L65">
        <v>7269788.75</v>
      </c>
    </row>
    <row r="66" spans="1:12" x14ac:dyDescent="0.25">
      <c r="A66" s="1">
        <v>41730</v>
      </c>
      <c r="B66">
        <v>242772.01</v>
      </c>
      <c r="C66">
        <v>23782.31</v>
      </c>
      <c r="J66" s="1">
        <v>41548</v>
      </c>
      <c r="K66">
        <v>293406.77</v>
      </c>
      <c r="L66">
        <v>7563195.5199999996</v>
      </c>
    </row>
    <row r="67" spans="1:12" x14ac:dyDescent="0.25">
      <c r="A67" s="1">
        <v>41760</v>
      </c>
      <c r="B67">
        <v>288401.13</v>
      </c>
      <c r="C67">
        <v>33953.620000000003</v>
      </c>
      <c r="J67" s="1">
        <v>41579</v>
      </c>
      <c r="K67">
        <v>373989.57</v>
      </c>
      <c r="L67">
        <v>7937185.0899999999</v>
      </c>
    </row>
    <row r="68" spans="1:12" x14ac:dyDescent="0.25">
      <c r="A68" s="1">
        <v>41791</v>
      </c>
      <c r="B68">
        <v>401814.19</v>
      </c>
      <c r="C68">
        <v>43778.559999999998</v>
      </c>
      <c r="J68" s="1">
        <v>41609</v>
      </c>
      <c r="K68">
        <v>405454.49</v>
      </c>
      <c r="L68">
        <v>8342639.5800000001</v>
      </c>
    </row>
    <row r="69" spans="1:12" x14ac:dyDescent="0.25">
      <c r="A69" s="1">
        <v>41821</v>
      </c>
      <c r="B69">
        <v>258705.8</v>
      </c>
      <c r="C69">
        <v>28035.81</v>
      </c>
      <c r="J69" s="1">
        <v>41640</v>
      </c>
      <c r="K69">
        <v>241268.65</v>
      </c>
      <c r="L69">
        <v>8583908.2300000004</v>
      </c>
    </row>
    <row r="70" spans="1:12" x14ac:dyDescent="0.25">
      <c r="A70" s="1">
        <v>41852</v>
      </c>
      <c r="B70">
        <v>456620.18</v>
      </c>
      <c r="C70">
        <v>53542.98</v>
      </c>
      <c r="J70" s="1">
        <v>41671</v>
      </c>
      <c r="K70">
        <v>184837.46</v>
      </c>
      <c r="L70">
        <v>8768745.6899999995</v>
      </c>
    </row>
    <row r="71" spans="1:12" x14ac:dyDescent="0.25">
      <c r="A71" s="1">
        <v>41883</v>
      </c>
      <c r="B71">
        <v>481157.41</v>
      </c>
      <c r="C71">
        <v>67979.520000000004</v>
      </c>
      <c r="J71" s="1">
        <v>41699</v>
      </c>
      <c r="K71">
        <v>263100.83</v>
      </c>
      <c r="L71">
        <v>9031846.5199999996</v>
      </c>
    </row>
    <row r="72" spans="1:12" x14ac:dyDescent="0.25">
      <c r="A72" s="1">
        <v>41913</v>
      </c>
      <c r="B72">
        <v>422766.85</v>
      </c>
      <c r="C72">
        <v>58209.95</v>
      </c>
      <c r="J72" s="1">
        <v>41730</v>
      </c>
      <c r="K72">
        <v>242772.01</v>
      </c>
      <c r="L72">
        <v>9274618.5299999993</v>
      </c>
    </row>
    <row r="73" spans="1:12" x14ac:dyDescent="0.25">
      <c r="A73" s="1">
        <v>41944</v>
      </c>
      <c r="B73">
        <v>555279.30000000005</v>
      </c>
      <c r="C73">
        <v>62856.62</v>
      </c>
      <c r="J73" s="1">
        <v>41760</v>
      </c>
      <c r="K73">
        <v>288401.13</v>
      </c>
      <c r="L73">
        <v>9563019.6600000001</v>
      </c>
    </row>
    <row r="74" spans="1:12" x14ac:dyDescent="0.25">
      <c r="A74" s="1">
        <v>41974</v>
      </c>
      <c r="B74">
        <v>503143.86</v>
      </c>
      <c r="C74">
        <v>46916.4</v>
      </c>
      <c r="J74" s="1">
        <v>41791</v>
      </c>
      <c r="K74">
        <v>401814.19</v>
      </c>
      <c r="L74">
        <v>9964833.8499999996</v>
      </c>
    </row>
    <row r="75" spans="1:12" x14ac:dyDescent="0.25">
      <c r="J75" s="1">
        <v>41821</v>
      </c>
      <c r="K75">
        <v>258705.8</v>
      </c>
      <c r="L75">
        <v>10223539.65</v>
      </c>
    </row>
    <row r="76" spans="1:12" x14ac:dyDescent="0.25">
      <c r="J76" s="1">
        <v>41852</v>
      </c>
      <c r="K76">
        <v>456620.18</v>
      </c>
      <c r="L76">
        <v>10680159.83</v>
      </c>
    </row>
    <row r="77" spans="1:12" x14ac:dyDescent="0.25">
      <c r="J77" s="1">
        <v>41883</v>
      </c>
      <c r="K77">
        <v>481157.41</v>
      </c>
      <c r="L77">
        <v>11161317.24</v>
      </c>
    </row>
    <row r="78" spans="1:12" x14ac:dyDescent="0.25">
      <c r="J78" s="1">
        <v>41913</v>
      </c>
      <c r="K78">
        <v>422766.85</v>
      </c>
      <c r="L78">
        <v>11584084.09</v>
      </c>
    </row>
    <row r="79" spans="1:12" x14ac:dyDescent="0.25">
      <c r="J79" s="1">
        <v>41944</v>
      </c>
      <c r="K79">
        <v>555279.30000000005</v>
      </c>
      <c r="L79">
        <v>12139363.390000001</v>
      </c>
    </row>
    <row r="80" spans="1:12" x14ac:dyDescent="0.25">
      <c r="J80" s="1">
        <v>41974</v>
      </c>
      <c r="K80">
        <v>503143.86</v>
      </c>
      <c r="L80">
        <v>12642507.25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5DF4-7C93-47F9-A8F8-1D6B46BAF064}">
  <dimension ref="A1:B11"/>
  <sheetViews>
    <sheetView workbookViewId="0">
      <selection activeCell="C28" sqref="C28"/>
    </sheetView>
  </sheetViews>
  <sheetFormatPr defaultRowHeight="15" x14ac:dyDescent="0.25"/>
  <cols>
    <col min="1" max="1" width="48.7109375" style="2" bestFit="1" customWidth="1"/>
    <col min="2" max="2" width="15.28515625" bestFit="1" customWidth="1"/>
  </cols>
  <sheetData>
    <row r="1" spans="1:2" ht="24" x14ac:dyDescent="0.4">
      <c r="A1" s="3" t="s">
        <v>74</v>
      </c>
    </row>
    <row r="3" spans="1:2" x14ac:dyDescent="0.25">
      <c r="A3" s="7" t="s">
        <v>65</v>
      </c>
      <c r="B3" s="8">
        <f>SUM(category_performance[total_sales])</f>
        <v>13852862.730000002</v>
      </c>
    </row>
    <row r="4" spans="1:2" x14ac:dyDescent="0.25">
      <c r="A4" s="7" t="s">
        <v>66</v>
      </c>
      <c r="B4" s="8">
        <f>SUM(category_performance[total_profit])</f>
        <v>1607426.5699999996</v>
      </c>
    </row>
    <row r="5" spans="1:2" x14ac:dyDescent="0.25">
      <c r="A5" s="7" t="s">
        <v>67</v>
      </c>
      <c r="B5" s="9">
        <f>SUM(sales_by_region[total_quantity])</f>
        <v>178312</v>
      </c>
    </row>
    <row r="6" spans="1:2" x14ac:dyDescent="0.25">
      <c r="A6" s="7" t="s">
        <v>68</v>
      </c>
      <c r="B6" s="10">
        <f>AVERAGE(category_performance[avg_discount])</f>
        <v>0.14772141176470588</v>
      </c>
    </row>
    <row r="7" spans="1:2" x14ac:dyDescent="0.25">
      <c r="A7" s="7" t="s">
        <v>69</v>
      </c>
      <c r="B7" s="10">
        <f>SUM(category_performance[total_profit])/SUM(category_performance[total_sales])</f>
        <v>0.11603569611059009</v>
      </c>
    </row>
    <row r="8" spans="1:2" x14ac:dyDescent="0.25">
      <c r="A8" s="7" t="s">
        <v>70</v>
      </c>
      <c r="B8" s="11" t="str">
        <f>INDEX(sales_by_region[region],1)</f>
        <v>Central</v>
      </c>
    </row>
    <row r="9" spans="1:2" x14ac:dyDescent="0.25">
      <c r="A9" s="7" t="s">
        <v>71</v>
      </c>
      <c r="B9" s="11" t="str">
        <f>INDEX(top_customers[customer_name],1)</f>
        <v>Tom Ashbrook</v>
      </c>
    </row>
    <row r="10" spans="1:2" x14ac:dyDescent="0.25">
      <c r="A10" s="7" t="s">
        <v>72</v>
      </c>
      <c r="B10" s="11" t="str">
        <f>INDEX(category_performance[category],1)</f>
        <v>Technology</v>
      </c>
    </row>
    <row r="11" spans="1:2" x14ac:dyDescent="0.25">
      <c r="A11" s="7" t="s">
        <v>73</v>
      </c>
      <c r="B11" s="11" t="str" cm="1">
        <f t="array" ref="B11">INDEX(
category_performance[category],
ROWS(category_performance[category])
)</f>
        <v>Furniture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B5F6-4941-41B7-A560-76A74EDE3928}">
  <dimension ref="A1:I44"/>
  <sheetViews>
    <sheetView workbookViewId="0">
      <selection activeCell="D5" sqref="D5"/>
    </sheetView>
  </sheetViews>
  <sheetFormatPr defaultRowHeight="15" x14ac:dyDescent="0.25"/>
  <cols>
    <col min="1" max="1" width="14.140625" bestFit="1" customWidth="1"/>
    <col min="2" max="2" width="19.140625" style="5" bestFit="1" customWidth="1"/>
    <col min="3" max="3" width="18" style="4" bestFit="1" customWidth="1"/>
    <col min="4" max="4" width="20.42578125" bestFit="1" customWidth="1"/>
    <col min="5" max="6" width="16.85546875" bestFit="1" customWidth="1"/>
    <col min="7" max="7" width="19.140625" bestFit="1" customWidth="1"/>
    <col min="8" max="8" width="19.42578125" bestFit="1" customWidth="1"/>
    <col min="9" max="9" width="19.7109375" bestFit="1" customWidth="1"/>
    <col min="10" max="10" width="16.42578125" bestFit="1" customWidth="1"/>
    <col min="11" max="11" width="19.140625" bestFit="1" customWidth="1"/>
    <col min="12" max="12" width="19.42578125" bestFit="1" customWidth="1"/>
    <col min="13" max="13" width="18.7109375" bestFit="1" customWidth="1"/>
  </cols>
  <sheetData>
    <row r="1" spans="1:9" x14ac:dyDescent="0.25">
      <c r="A1" s="12" t="s">
        <v>75</v>
      </c>
      <c r="B1" s="15" t="s">
        <v>77</v>
      </c>
      <c r="C1" t="s">
        <v>78</v>
      </c>
      <c r="D1" t="s">
        <v>89</v>
      </c>
      <c r="F1" s="12" t="s">
        <v>75</v>
      </c>
      <c r="G1" s="15" t="s">
        <v>77</v>
      </c>
      <c r="H1" s="15" t="s">
        <v>78</v>
      </c>
      <c r="I1" s="16" t="s">
        <v>87</v>
      </c>
    </row>
    <row r="2" spans="1:9" x14ac:dyDescent="0.25">
      <c r="A2" s="6" t="s">
        <v>11</v>
      </c>
      <c r="B2" s="15">
        <v>783773.37</v>
      </c>
      <c r="C2" s="13">
        <v>88871.13</v>
      </c>
      <c r="D2" s="13">
        <v>10564</v>
      </c>
      <c r="E2" s="15"/>
      <c r="F2" s="6" t="s">
        <v>35</v>
      </c>
      <c r="G2" s="15">
        <v>4502906.91</v>
      </c>
      <c r="H2" s="15">
        <v>308376.58999999997</v>
      </c>
      <c r="I2" s="16">
        <v>0.757633</v>
      </c>
    </row>
    <row r="3" spans="1:9" x14ac:dyDescent="0.25">
      <c r="A3" s="6" t="s">
        <v>16</v>
      </c>
      <c r="B3" s="15">
        <v>66928.17</v>
      </c>
      <c r="C3" s="13">
        <v>17817.39</v>
      </c>
      <c r="D3" s="13">
        <v>833</v>
      </c>
      <c r="F3" s="14" t="s">
        <v>36</v>
      </c>
      <c r="G3" s="15">
        <v>1610143.58</v>
      </c>
      <c r="H3" s="15">
        <v>175773.79</v>
      </c>
      <c r="I3" s="16">
        <v>0.15367500000000001</v>
      </c>
    </row>
    <row r="4" spans="1:9" x14ac:dyDescent="0.25">
      <c r="A4" s="6" t="s">
        <v>15</v>
      </c>
      <c r="B4" s="15">
        <v>324280.89</v>
      </c>
      <c r="C4" s="13">
        <v>34571.35</v>
      </c>
      <c r="D4" s="13">
        <v>6299</v>
      </c>
      <c r="F4" s="14" t="s">
        <v>39</v>
      </c>
      <c r="G4" s="15">
        <v>1628891.92</v>
      </c>
      <c r="H4" s="15">
        <v>149702.69</v>
      </c>
      <c r="I4" s="16">
        <v>0.162746</v>
      </c>
    </row>
    <row r="5" spans="1:9" x14ac:dyDescent="0.25">
      <c r="A5" s="6" t="s">
        <v>4</v>
      </c>
      <c r="B5" s="15">
        <v>2822303.89</v>
      </c>
      <c r="C5" s="13">
        <v>311403.75</v>
      </c>
      <c r="D5" s="13">
        <v>41762</v>
      </c>
      <c r="F5" s="14" t="s">
        <v>46</v>
      </c>
      <c r="G5" s="15">
        <v>427789.25</v>
      </c>
      <c r="H5" s="15">
        <v>55015.68</v>
      </c>
      <c r="I5" s="16">
        <v>0.150281</v>
      </c>
    </row>
    <row r="6" spans="1:9" x14ac:dyDescent="0.25">
      <c r="A6" s="6" t="s">
        <v>12</v>
      </c>
      <c r="B6" s="15">
        <v>752826.94</v>
      </c>
      <c r="C6" s="13">
        <v>132479.89000000001</v>
      </c>
      <c r="D6" s="13">
        <v>7715</v>
      </c>
      <c r="F6" s="14" t="s">
        <v>51</v>
      </c>
      <c r="G6" s="15">
        <v>836082.16</v>
      </c>
      <c r="H6" s="15">
        <v>-72115.570000000007</v>
      </c>
      <c r="I6" s="16">
        <v>0.290931</v>
      </c>
    </row>
    <row r="7" spans="1:9" x14ac:dyDescent="0.25">
      <c r="A7" s="6" t="s">
        <v>14</v>
      </c>
      <c r="B7" s="15">
        <v>678781.36</v>
      </c>
      <c r="C7" s="13">
        <v>91522.84</v>
      </c>
      <c r="D7" s="13">
        <v>10618</v>
      </c>
      <c r="F7" s="6" t="s">
        <v>37</v>
      </c>
      <c r="G7" s="15">
        <v>4172064.7299999995</v>
      </c>
      <c r="H7" s="15">
        <v>575901.39</v>
      </c>
      <c r="I7" s="16">
        <v>1.2023419999999998</v>
      </c>
    </row>
    <row r="8" spans="1:9" x14ac:dyDescent="0.25">
      <c r="A8" s="6" t="s">
        <v>10</v>
      </c>
      <c r="B8" s="15">
        <v>806161.35</v>
      </c>
      <c r="C8" s="13">
        <v>43897.9</v>
      </c>
      <c r="D8" s="13">
        <v>11517</v>
      </c>
      <c r="F8" s="14" t="s">
        <v>38</v>
      </c>
      <c r="G8" s="15">
        <v>1114445.78</v>
      </c>
      <c r="H8" s="15">
        <v>156948.91</v>
      </c>
      <c r="I8" s="16">
        <v>0.14080200000000001</v>
      </c>
    </row>
    <row r="9" spans="1:9" x14ac:dyDescent="0.25">
      <c r="A9" s="6" t="s">
        <v>6</v>
      </c>
      <c r="B9" s="15">
        <v>1248166.53</v>
      </c>
      <c r="C9" s="13">
        <v>194597.41</v>
      </c>
      <c r="D9" s="13">
        <v>18021</v>
      </c>
      <c r="F9" s="14" t="s">
        <v>41</v>
      </c>
      <c r="G9" s="15">
        <v>1232121.57</v>
      </c>
      <c r="H9" s="15">
        <v>116354.42</v>
      </c>
      <c r="I9" s="16">
        <v>0.13780100000000001</v>
      </c>
    </row>
    <row r="10" spans="1:9" x14ac:dyDescent="0.25">
      <c r="A10" s="6" t="s">
        <v>9</v>
      </c>
      <c r="B10" s="15">
        <v>848310.01</v>
      </c>
      <c r="C10" s="13">
        <v>165578.17000000001</v>
      </c>
      <c r="D10" s="13">
        <v>8851</v>
      </c>
      <c r="F10" s="14" t="s">
        <v>42</v>
      </c>
      <c r="G10" s="15">
        <v>513641.22</v>
      </c>
      <c r="H10" s="15">
        <v>78936.679999999993</v>
      </c>
      <c r="I10" s="16">
        <v>0.180003</v>
      </c>
    </row>
    <row r="11" spans="1:9" x14ac:dyDescent="0.25">
      <c r="A11" s="6" t="s">
        <v>7</v>
      </c>
      <c r="B11" s="15">
        <v>1100185.69</v>
      </c>
      <c r="C11" s="13">
        <v>120089.63</v>
      </c>
      <c r="D11" s="13">
        <v>12838</v>
      </c>
      <c r="F11" s="14" t="s">
        <v>43</v>
      </c>
      <c r="G11" s="15">
        <v>280829.23</v>
      </c>
      <c r="H11" s="15">
        <v>70468.960000000006</v>
      </c>
      <c r="I11" s="16">
        <v>0.110231</v>
      </c>
    </row>
    <row r="12" spans="1:9" x14ac:dyDescent="0.25">
      <c r="A12" s="6" t="s">
        <v>5</v>
      </c>
      <c r="B12" s="15">
        <v>1600907.17</v>
      </c>
      <c r="C12" s="13">
        <v>140355.94</v>
      </c>
      <c r="D12" s="13">
        <v>25206</v>
      </c>
      <c r="F12" s="14" t="s">
        <v>44</v>
      </c>
      <c r="G12" s="15">
        <v>414429.96</v>
      </c>
      <c r="H12" s="15">
        <v>66456.600000000006</v>
      </c>
      <c r="I12" s="16">
        <v>0.11297500000000001</v>
      </c>
    </row>
    <row r="13" spans="1:9" x14ac:dyDescent="0.25">
      <c r="A13" s="6" t="s">
        <v>8</v>
      </c>
      <c r="B13" s="15">
        <v>884423.95</v>
      </c>
      <c r="C13" s="13">
        <v>17852.36</v>
      </c>
      <c r="D13" s="13">
        <v>11822</v>
      </c>
      <c r="F13" s="14" t="s">
        <v>47</v>
      </c>
      <c r="G13" s="15">
        <v>188104.02</v>
      </c>
      <c r="H13" s="15">
        <v>32879.379999999997</v>
      </c>
      <c r="I13" s="16">
        <v>0.13042500000000001</v>
      </c>
    </row>
    <row r="14" spans="1:9" x14ac:dyDescent="0.25">
      <c r="A14" s="6" t="s">
        <v>13</v>
      </c>
      <c r="B14" s="15">
        <v>725457.93</v>
      </c>
      <c r="C14" s="13">
        <v>108418.79</v>
      </c>
      <c r="D14" s="13">
        <v>12266</v>
      </c>
      <c r="F14" s="14" t="s">
        <v>48</v>
      </c>
      <c r="G14" s="15">
        <v>262430.26</v>
      </c>
      <c r="H14" s="15">
        <v>26087.71</v>
      </c>
      <c r="I14" s="16">
        <v>0.128359</v>
      </c>
    </row>
    <row r="15" spans="1:9" x14ac:dyDescent="0.25">
      <c r="A15" s="6" t="s">
        <v>76</v>
      </c>
      <c r="B15" s="15">
        <v>12642507.249999998</v>
      </c>
      <c r="C15" s="13">
        <v>1467456.55</v>
      </c>
      <c r="D15" s="13">
        <v>178312</v>
      </c>
      <c r="F15" s="14" t="s">
        <v>49</v>
      </c>
      <c r="G15" s="15">
        <v>78954.759999999995</v>
      </c>
      <c r="H15" s="15">
        <v>16091.88</v>
      </c>
      <c r="I15" s="16">
        <v>0.119903</v>
      </c>
    </row>
    <row r="16" spans="1:9" x14ac:dyDescent="0.25">
      <c r="F16" s="14" t="s">
        <v>50</v>
      </c>
      <c r="G16" s="15">
        <v>87107.93</v>
      </c>
      <c r="H16" s="15">
        <v>11676.85</v>
      </c>
      <c r="I16" s="16">
        <v>0.141843</v>
      </c>
    </row>
    <row r="17" spans="1:9" x14ac:dyDescent="0.25">
      <c r="F17" s="6" t="s">
        <v>32</v>
      </c>
      <c r="G17" s="15">
        <v>5177891.09</v>
      </c>
      <c r="H17" s="15">
        <v>723148.59</v>
      </c>
      <c r="I17" s="16">
        <v>0.55128899999999992</v>
      </c>
    </row>
    <row r="18" spans="1:9" x14ac:dyDescent="0.25">
      <c r="F18" s="14" t="s">
        <v>33</v>
      </c>
      <c r="G18" s="15">
        <v>1604274.55</v>
      </c>
      <c r="H18" s="15">
        <v>273505.25</v>
      </c>
      <c r="I18" s="16">
        <v>0.11702</v>
      </c>
    </row>
    <row r="19" spans="1:9" x14ac:dyDescent="0.25">
      <c r="F19" s="14" t="s">
        <v>34</v>
      </c>
      <c r="G19" s="15">
        <v>1878759.34</v>
      </c>
      <c r="H19" s="15">
        <v>233707.78</v>
      </c>
      <c r="I19" s="16">
        <v>0.14585100000000001</v>
      </c>
    </row>
    <row r="20" spans="1:9" x14ac:dyDescent="0.25">
      <c r="A20" s="12" t="s">
        <v>75</v>
      </c>
      <c r="B20" s="15" t="s">
        <v>77</v>
      </c>
      <c r="C20" s="15" t="s">
        <v>78</v>
      </c>
      <c r="F20" s="14" t="s">
        <v>40</v>
      </c>
      <c r="G20" s="15">
        <v>851117.55</v>
      </c>
      <c r="H20" s="15">
        <v>149544.89000000001</v>
      </c>
      <c r="I20" s="16">
        <v>0.118621</v>
      </c>
    </row>
    <row r="21" spans="1:9" x14ac:dyDescent="0.25">
      <c r="A21" s="6" t="s">
        <v>79</v>
      </c>
      <c r="B21" s="15">
        <v>2259451.64</v>
      </c>
      <c r="C21" s="15">
        <v>248940.41</v>
      </c>
      <c r="F21" s="14" t="s">
        <v>45</v>
      </c>
      <c r="G21" s="15">
        <v>843739.65</v>
      </c>
      <c r="H21" s="15">
        <v>66390.67</v>
      </c>
      <c r="I21" s="16">
        <v>0.169797</v>
      </c>
    </row>
    <row r="22" spans="1:9" x14ac:dyDescent="0.25">
      <c r="A22" s="14" t="s">
        <v>83</v>
      </c>
      <c r="B22" s="17">
        <v>335780.27</v>
      </c>
      <c r="C22" s="15">
        <v>36043.19</v>
      </c>
      <c r="F22" s="6" t="s">
        <v>76</v>
      </c>
      <c r="G22" s="15">
        <v>13852862.73</v>
      </c>
      <c r="H22" s="15">
        <v>1607426.57</v>
      </c>
      <c r="I22" s="16">
        <v>2.5112640000000002</v>
      </c>
    </row>
    <row r="23" spans="1:9" x14ac:dyDescent="0.25">
      <c r="A23" s="14" t="s">
        <v>84</v>
      </c>
      <c r="B23" s="17">
        <v>478871.05000000005</v>
      </c>
      <c r="C23" s="15">
        <v>48501.289999999994</v>
      </c>
    </row>
    <row r="24" spans="1:9" x14ac:dyDescent="0.25">
      <c r="A24" s="14" t="s">
        <v>85</v>
      </c>
      <c r="B24" s="17">
        <v>613306.48</v>
      </c>
      <c r="C24" s="15">
        <v>65075.520000000004</v>
      </c>
    </row>
    <row r="25" spans="1:9" x14ac:dyDescent="0.25">
      <c r="A25" s="14" t="s">
        <v>86</v>
      </c>
      <c r="B25" s="17">
        <v>831493.84000000008</v>
      </c>
      <c r="C25" s="15">
        <v>99320.41</v>
      </c>
    </row>
    <row r="26" spans="1:9" x14ac:dyDescent="0.25">
      <c r="A26" s="6" t="s">
        <v>80</v>
      </c>
      <c r="B26" s="15">
        <v>2677439.91</v>
      </c>
      <c r="C26" s="15">
        <v>307415.30000000005</v>
      </c>
    </row>
    <row r="27" spans="1:9" x14ac:dyDescent="0.25">
      <c r="A27" s="14" t="s">
        <v>83</v>
      </c>
      <c r="B27" s="15">
        <v>399367.85</v>
      </c>
      <c r="C27" s="15">
        <v>43394.569999999992</v>
      </c>
      <c r="F27" s="12" t="s">
        <v>75</v>
      </c>
      <c r="G27" s="15" t="s">
        <v>77</v>
      </c>
      <c r="H27" s="15" t="s">
        <v>78</v>
      </c>
      <c r="I27" t="s">
        <v>88</v>
      </c>
    </row>
    <row r="28" spans="1:9" x14ac:dyDescent="0.25">
      <c r="A28" s="14" t="s">
        <v>84</v>
      </c>
      <c r="B28" s="15">
        <v>625593.31000000006</v>
      </c>
      <c r="C28" s="15">
        <v>81650.78</v>
      </c>
      <c r="F28" s="6" t="s">
        <v>59</v>
      </c>
      <c r="G28" s="15">
        <v>1830977</v>
      </c>
      <c r="H28" s="15">
        <v>208104.63</v>
      </c>
      <c r="I28" s="13">
        <v>7505</v>
      </c>
    </row>
    <row r="29" spans="1:9" x14ac:dyDescent="0.25">
      <c r="A29" s="14" t="s">
        <v>85</v>
      </c>
      <c r="B29" s="15">
        <v>737769.23</v>
      </c>
      <c r="C29" s="15">
        <v>86935.6</v>
      </c>
      <c r="F29" s="14" t="s">
        <v>61</v>
      </c>
      <c r="G29" s="15">
        <v>416906.92</v>
      </c>
      <c r="H29" s="15">
        <v>55831.12</v>
      </c>
      <c r="I29" s="13">
        <v>1734</v>
      </c>
    </row>
    <row r="30" spans="1:9" x14ac:dyDescent="0.25">
      <c r="A30" s="14" t="s">
        <v>86</v>
      </c>
      <c r="B30" s="15">
        <v>914709.52</v>
      </c>
      <c r="C30" s="15">
        <v>95434.35</v>
      </c>
      <c r="F30" s="14" t="s">
        <v>57</v>
      </c>
      <c r="G30" s="15">
        <v>829953.64</v>
      </c>
      <c r="H30" s="15">
        <v>83945.73</v>
      </c>
      <c r="I30" s="13">
        <v>3413</v>
      </c>
    </row>
    <row r="31" spans="1:9" x14ac:dyDescent="0.25">
      <c r="A31" s="6" t="s">
        <v>81</v>
      </c>
      <c r="B31" s="15">
        <v>3405748.0300000003</v>
      </c>
      <c r="C31" s="15">
        <v>406934.83999999997</v>
      </c>
      <c r="F31" s="14" t="s">
        <v>55</v>
      </c>
      <c r="G31" s="15">
        <v>584116.43999999994</v>
      </c>
      <c r="H31" s="15">
        <v>68327.78</v>
      </c>
      <c r="I31" s="13">
        <v>2358</v>
      </c>
    </row>
    <row r="32" spans="1:9" x14ac:dyDescent="0.25">
      <c r="A32" s="14" t="s">
        <v>83</v>
      </c>
      <c r="B32" s="15">
        <v>565020</v>
      </c>
      <c r="C32" s="15">
        <v>74006.850000000006</v>
      </c>
      <c r="F32" s="6" t="s">
        <v>62</v>
      </c>
      <c r="G32" s="15">
        <v>667202.32000000007</v>
      </c>
      <c r="H32" s="15">
        <v>76173.23</v>
      </c>
      <c r="I32" s="13">
        <v>2701</v>
      </c>
    </row>
    <row r="33" spans="1:9" x14ac:dyDescent="0.25">
      <c r="A33" s="14" t="s">
        <v>84</v>
      </c>
      <c r="B33" s="15">
        <v>834839.83000000007</v>
      </c>
      <c r="C33" s="15">
        <v>93435.98000000001</v>
      </c>
      <c r="F33" s="14" t="s">
        <v>61</v>
      </c>
      <c r="G33" s="15">
        <v>178624.51</v>
      </c>
      <c r="H33" s="15">
        <v>19429.060000000001</v>
      </c>
      <c r="I33" s="13">
        <v>742</v>
      </c>
    </row>
    <row r="34" spans="1:9" x14ac:dyDescent="0.25">
      <c r="A34" s="14" t="s">
        <v>85</v>
      </c>
      <c r="B34" s="15">
        <v>933037.37</v>
      </c>
      <c r="C34" s="15">
        <v>98792.92</v>
      </c>
      <c r="F34" s="14" t="s">
        <v>57</v>
      </c>
      <c r="G34" s="15">
        <v>315052.87</v>
      </c>
      <c r="H34" s="15">
        <v>34219.72</v>
      </c>
      <c r="I34" s="13">
        <v>1269</v>
      </c>
    </row>
    <row r="35" spans="1:9" x14ac:dyDescent="0.25">
      <c r="A35" s="14" t="s">
        <v>86</v>
      </c>
      <c r="B35" s="15">
        <v>1072850.83</v>
      </c>
      <c r="C35" s="15">
        <v>140699.09</v>
      </c>
      <c r="F35" s="14" t="s">
        <v>55</v>
      </c>
      <c r="G35" s="15">
        <v>173524.94</v>
      </c>
      <c r="H35" s="15">
        <v>22524.45</v>
      </c>
      <c r="I35" s="13">
        <v>690</v>
      </c>
    </row>
    <row r="36" spans="1:9" x14ac:dyDescent="0.25">
      <c r="A36" s="6" t="s">
        <v>82</v>
      </c>
      <c r="B36" s="15">
        <v>4299867.67</v>
      </c>
      <c r="C36" s="15">
        <v>504166</v>
      </c>
      <c r="F36" s="6" t="s">
        <v>58</v>
      </c>
      <c r="G36" s="15">
        <v>2565672.42</v>
      </c>
      <c r="H36" s="15">
        <v>292582.91000000003</v>
      </c>
      <c r="I36" s="13">
        <v>10309</v>
      </c>
    </row>
    <row r="37" spans="1:9" x14ac:dyDescent="0.25">
      <c r="A37" s="14" t="s">
        <v>83</v>
      </c>
      <c r="B37" s="15">
        <v>689206.94</v>
      </c>
      <c r="C37" s="15">
        <v>85110.23000000001</v>
      </c>
      <c r="F37" s="14" t="s">
        <v>61</v>
      </c>
      <c r="G37" s="15">
        <v>390704.33</v>
      </c>
      <c r="H37" s="15">
        <v>48964.07</v>
      </c>
      <c r="I37" s="13">
        <v>1456</v>
      </c>
    </row>
    <row r="38" spans="1:9" x14ac:dyDescent="0.25">
      <c r="A38" s="14" t="s">
        <v>84</v>
      </c>
      <c r="B38" s="15">
        <v>932987.33000000007</v>
      </c>
      <c r="C38" s="15">
        <v>101514.49</v>
      </c>
      <c r="F38" s="14" t="s">
        <v>57</v>
      </c>
      <c r="G38" s="15">
        <v>970082.11</v>
      </c>
      <c r="H38" s="15">
        <v>104578.31</v>
      </c>
      <c r="I38" s="13">
        <v>4010</v>
      </c>
    </row>
    <row r="39" spans="1:9" x14ac:dyDescent="0.25">
      <c r="A39" s="14" t="s">
        <v>85</v>
      </c>
      <c r="B39" s="15">
        <v>1196483.3899999999</v>
      </c>
      <c r="C39" s="15">
        <v>149558.31</v>
      </c>
      <c r="F39" s="14" t="s">
        <v>55</v>
      </c>
      <c r="G39" s="15">
        <v>1204885.98</v>
      </c>
      <c r="H39" s="15">
        <v>139040.53</v>
      </c>
      <c r="I39" s="13">
        <v>4843</v>
      </c>
    </row>
    <row r="40" spans="1:9" x14ac:dyDescent="0.25">
      <c r="A40" s="14" t="s">
        <v>86</v>
      </c>
      <c r="B40" s="15">
        <v>1481190.01</v>
      </c>
      <c r="C40" s="15">
        <v>167982.97</v>
      </c>
      <c r="F40" s="6" t="s">
        <v>56</v>
      </c>
      <c r="G40" s="15">
        <v>7578655.5099999998</v>
      </c>
      <c r="H40" s="15">
        <v>890595.78</v>
      </c>
      <c r="I40" s="13">
        <v>30775</v>
      </c>
    </row>
    <row r="41" spans="1:9" x14ac:dyDescent="0.25">
      <c r="A41" s="6" t="s">
        <v>76</v>
      </c>
      <c r="B41" s="15">
        <v>12642507.250000002</v>
      </c>
      <c r="C41" s="15">
        <v>1467456.55</v>
      </c>
      <c r="F41" s="14" t="s">
        <v>57</v>
      </c>
      <c r="G41" s="15">
        <v>1692461.47</v>
      </c>
      <c r="H41" s="15">
        <v>197629.2</v>
      </c>
      <c r="I41" s="13">
        <v>6809</v>
      </c>
    </row>
    <row r="42" spans="1:9" x14ac:dyDescent="0.25">
      <c r="F42" s="14" t="s">
        <v>60</v>
      </c>
      <c r="G42" s="15">
        <v>567826.16</v>
      </c>
      <c r="H42" s="15">
        <v>58655.88</v>
      </c>
      <c r="I42" s="13">
        <v>2424</v>
      </c>
    </row>
    <row r="43" spans="1:9" x14ac:dyDescent="0.25">
      <c r="F43" s="14" t="s">
        <v>55</v>
      </c>
      <c r="G43" s="15">
        <v>5318367.88</v>
      </c>
      <c r="H43" s="15">
        <v>634310.69999999995</v>
      </c>
      <c r="I43" s="13">
        <v>21542</v>
      </c>
    </row>
    <row r="44" spans="1:9" x14ac:dyDescent="0.25">
      <c r="F44" s="6" t="s">
        <v>76</v>
      </c>
      <c r="G44" s="15">
        <v>12642507.25</v>
      </c>
      <c r="H44" s="15">
        <v>1467456.5499999998</v>
      </c>
      <c r="I44" s="13">
        <v>51290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3305-9649-46BC-8691-5D8501A59417}">
  <dimension ref="A1:N10"/>
  <sheetViews>
    <sheetView showGridLines="0" tabSelected="1" topLeftCell="A4" zoomScale="84" zoomScaleNormal="84" workbookViewId="0">
      <selection activeCell="M42" sqref="M42"/>
    </sheetView>
  </sheetViews>
  <sheetFormatPr defaultColWidth="22.5703125" defaultRowHeight="15" x14ac:dyDescent="0.25"/>
  <sheetData>
    <row r="1" spans="1:14" x14ac:dyDescent="0.25">
      <c r="A1" s="37" t="s">
        <v>90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4" x14ac:dyDescent="0.25">
      <c r="A3" s="19" t="s">
        <v>91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4" x14ac:dyDescent="0.25">
      <c r="A5" s="20">
        <f>'KPI Summary'!B3</f>
        <v>13852862.730000002</v>
      </c>
      <c r="B5" s="21"/>
      <c r="C5" s="25">
        <f>'KPI Summary'!B4</f>
        <v>1607426.5699999996</v>
      </c>
      <c r="D5" s="26"/>
      <c r="E5" s="29">
        <f>'KPI Summary'!B7</f>
        <v>0.11603569611059009</v>
      </c>
      <c r="F5" s="26"/>
      <c r="G5" s="30">
        <f>'KPI Summary'!B5</f>
        <v>178312</v>
      </c>
      <c r="H5" s="26"/>
      <c r="I5" s="33" t="str">
        <f>'KPI Summary'!B8</f>
        <v>Central</v>
      </c>
      <c r="J5" s="26"/>
      <c r="K5" s="33" t="str">
        <f>'KPI Summary'!B9</f>
        <v>Tom Ashbrook</v>
      </c>
      <c r="L5" s="26"/>
    </row>
    <row r="6" spans="1:14" x14ac:dyDescent="0.25">
      <c r="A6" s="22"/>
      <c r="B6" s="23"/>
      <c r="C6" s="27"/>
      <c r="D6" s="28"/>
      <c r="E6" s="27"/>
      <c r="F6" s="28"/>
      <c r="G6" s="27"/>
      <c r="H6" s="28"/>
      <c r="I6" s="27"/>
      <c r="J6" s="28"/>
      <c r="K6" s="27"/>
      <c r="L6" s="28"/>
      <c r="N6" t="s">
        <v>92</v>
      </c>
    </row>
    <row r="7" spans="1:14" x14ac:dyDescent="0.25">
      <c r="A7" s="22"/>
      <c r="B7" s="23"/>
      <c r="C7" s="27"/>
      <c r="D7" s="28"/>
      <c r="E7" s="27"/>
      <c r="F7" s="28"/>
      <c r="G7" s="27"/>
      <c r="H7" s="28"/>
      <c r="I7" s="27"/>
      <c r="J7" s="28"/>
      <c r="K7" s="27"/>
      <c r="L7" s="28"/>
    </row>
    <row r="8" spans="1:14" x14ac:dyDescent="0.25">
      <c r="A8" s="22"/>
      <c r="B8" s="23"/>
      <c r="C8" s="27"/>
      <c r="D8" s="28"/>
      <c r="E8" s="27"/>
      <c r="F8" s="28"/>
      <c r="G8" s="27"/>
      <c r="H8" s="28"/>
      <c r="I8" s="27"/>
      <c r="J8" s="28"/>
      <c r="K8" s="27"/>
      <c r="L8" s="28"/>
    </row>
    <row r="9" spans="1:14" x14ac:dyDescent="0.25">
      <c r="A9" s="22"/>
      <c r="B9" s="23"/>
      <c r="C9" s="27"/>
      <c r="D9" s="28"/>
      <c r="E9" s="31"/>
      <c r="F9" s="32"/>
      <c r="G9" s="31"/>
      <c r="H9" s="32"/>
      <c r="I9" s="31"/>
      <c r="J9" s="32"/>
      <c r="K9" s="31"/>
      <c r="L9" s="32"/>
    </row>
    <row r="10" spans="1:14" x14ac:dyDescent="0.25">
      <c r="A10" s="24" t="s">
        <v>65</v>
      </c>
      <c r="B10" s="34"/>
      <c r="C10" s="35" t="s">
        <v>66</v>
      </c>
      <c r="D10" s="36"/>
      <c r="E10" s="35" t="s">
        <v>69</v>
      </c>
      <c r="F10" s="36"/>
      <c r="G10" s="35" t="s">
        <v>67</v>
      </c>
      <c r="H10" s="36"/>
      <c r="I10" s="35" t="s">
        <v>70</v>
      </c>
      <c r="J10" s="36"/>
      <c r="K10" s="35" t="s">
        <v>71</v>
      </c>
      <c r="L10" s="36"/>
    </row>
  </sheetData>
  <mergeCells count="14">
    <mergeCell ref="K10:L10"/>
    <mergeCell ref="I5:J9"/>
    <mergeCell ref="K5:L9"/>
    <mergeCell ref="E5:F9"/>
    <mergeCell ref="G5:H9"/>
    <mergeCell ref="A1:L2"/>
    <mergeCell ref="A3:L4"/>
    <mergeCell ref="A5:B9"/>
    <mergeCell ref="A10:B10"/>
    <mergeCell ref="C5:D9"/>
    <mergeCell ref="C10:D10"/>
    <mergeCell ref="E10:F10"/>
    <mergeCell ref="G10:H10"/>
    <mergeCell ref="I10:J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44CCDD-64AD-4443-8A11-BF5612826A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Raw SQL Exports</vt:lpstr>
      <vt:lpstr>KPI Summary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Landon Pillar</dc:creator>
  <cp:lastModifiedBy>Landon Pillar</cp:lastModifiedBy>
  <dcterms:created xsi:type="dcterms:W3CDTF">2026-07-13T21:05:23Z</dcterms:created>
  <dcterms:modified xsi:type="dcterms:W3CDTF">2026-07-24T04:21:08Z</dcterms:modified>
</cp:coreProperties>
</file>